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10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<sst xmlns="http://schemas.openxmlformats.org/spreadsheetml/2006/main" count="137" uniqueCount="75">
  <si>
    <t>発行年月日：</t>
  </si>
  <si>
    <t>2026 年7月 2日</t>
  </si>
  <si>
    <t>　生旺　株　式　会　社</t>
  </si>
  <si>
    <t>住所：</t>
  </si>
  <si>
    <t>〒332 -0021</t>
  </si>
  <si>
    <r>
      <rPr>
        <sz val="18"/>
        <color rgb="FF000000"/>
        <rFont val="Microsoft YaHei"/>
        <charset val="134"/>
      </rPr>
      <t>株式会社未来</t>
    </r>
    <r>
      <rPr>
        <sz val="18"/>
        <color rgb="FF000000"/>
        <rFont val="宋体-简"/>
        <charset val="134"/>
      </rPr>
      <t>舎</t>
    </r>
    <r>
      <rPr>
        <sz val="18"/>
        <color rgb="FF000000"/>
        <rFont val="Microsoft YaHei"/>
        <charset val="134"/>
      </rPr>
      <t>サポート</t>
    </r>
  </si>
  <si>
    <t>御中</t>
  </si>
  <si>
    <t>埼玉県川口市西川口5丁目15-19グランデイール西川口101</t>
  </si>
  <si>
    <t>担当者：</t>
  </si>
  <si>
    <t>コウ</t>
  </si>
  <si>
    <t>件　名：</t>
  </si>
  <si>
    <t>工事 代金としで—</t>
  </si>
  <si>
    <t>電話/ＦＡＸ</t>
  </si>
  <si>
    <t>048-278-9123</t>
  </si>
  <si>
    <t>登錄番号:T2260001026413</t>
  </si>
  <si>
    <t>＜ 振 込 先 ＞</t>
  </si>
  <si>
    <t>　金　額</t>
  </si>
  <si>
    <t>円</t>
  </si>
  <si>
    <t>銀 行 名</t>
  </si>
  <si>
    <t>みずほ銀行</t>
  </si>
  <si>
    <t>支 店 名</t>
  </si>
  <si>
    <t>わらび支店 普通預金</t>
  </si>
  <si>
    <t>お支払条件：</t>
  </si>
  <si>
    <t>振込</t>
  </si>
  <si>
    <t>科　　目</t>
  </si>
  <si>
    <t>セイオウ(カ　</t>
  </si>
  <si>
    <t>口座番号</t>
  </si>
  <si>
    <t>下記の通り、ご請求申し上げます。</t>
  </si>
  <si>
    <t>品名</t>
  </si>
  <si>
    <t>摘要</t>
  </si>
  <si>
    <t>数量</t>
  </si>
  <si>
    <r>
      <rPr>
        <sz val="12"/>
        <color rgb="FF000000"/>
        <rFont val="宋体-简"/>
        <charset val="134"/>
      </rPr>
      <t>単</t>
    </r>
    <r>
      <rPr>
        <sz val="12"/>
        <color rgb="FF000000"/>
        <rFont val="Microsoft YaHei"/>
        <charset val="134"/>
      </rPr>
      <t>位</t>
    </r>
  </si>
  <si>
    <t>単価</t>
  </si>
  <si>
    <r>
      <rPr>
        <sz val="12"/>
        <color rgb="FF000000"/>
        <rFont val="Microsoft YaHei"/>
        <charset val="134"/>
      </rPr>
      <t>金</t>
    </r>
    <r>
      <rPr>
        <sz val="12"/>
        <color rgb="FF000000"/>
        <rFont val="宋体-简"/>
        <charset val="134"/>
      </rPr>
      <t>額</t>
    </r>
    <r>
      <rPr>
        <sz val="12"/>
        <color rgb="FF000000"/>
        <rFont val="Microsoft YaHei"/>
        <charset val="134"/>
      </rPr>
      <t>(税</t>
    </r>
    <r>
      <rPr>
        <sz val="12"/>
        <color rgb="FF000000"/>
        <rFont val="宋体-简"/>
        <charset val="134"/>
      </rPr>
      <t>抜</t>
    </r>
    <r>
      <rPr>
        <sz val="12"/>
        <color rgb="FF000000"/>
        <rFont val="Microsoft YaHei"/>
        <charset val="134"/>
      </rPr>
      <t>)</t>
    </r>
  </si>
  <si>
    <r>
      <rPr>
        <sz val="12"/>
        <color rgb="FF000000"/>
        <rFont val="宋体-简"/>
        <charset val="134"/>
      </rPr>
      <t>適</t>
    </r>
    <r>
      <rPr>
        <sz val="12"/>
        <color rgb="FF000000"/>
        <rFont val="Microsoft YaHei"/>
        <charset val="134"/>
      </rPr>
      <t>用</t>
    </r>
  </si>
  <si>
    <t>金额（税入）</t>
  </si>
  <si>
    <r>
      <rPr>
        <sz val="18"/>
        <color rgb="FF000000"/>
        <rFont val="宋体-简"/>
        <charset val="134"/>
      </rPr>
      <t>東</t>
    </r>
    <r>
      <rPr>
        <sz val="18"/>
        <color rgb="FF000000"/>
        <rFont val="Microsoft YaHei"/>
        <charset val="134"/>
      </rPr>
      <t>京都墨田区</t>
    </r>
    <r>
      <rPr>
        <sz val="18"/>
        <color rgb="FF000000"/>
        <rFont val="宋体-简"/>
        <charset val="134"/>
      </rPr>
      <t>両</t>
    </r>
    <r>
      <rPr>
        <sz val="18"/>
        <color rgb="FF000000"/>
        <rFont val="Microsoft YaHei"/>
        <charset val="134"/>
      </rPr>
      <t xml:space="preserve">国3-8-8 、第二丸山ビル3A   </t>
    </r>
    <r>
      <rPr>
        <sz val="18"/>
        <color rgb="FF000000"/>
        <rFont val="宋体-简"/>
        <charset val="134"/>
      </rPr>
      <t xml:space="preserve">リビングエアコン14畳　室外機バルコニー7/5
</t>
    </r>
  </si>
  <si>
    <t>ダイキンエアコン14畳 
本体</t>
  </si>
  <si>
    <t>1</t>
  </si>
  <si>
    <t>台</t>
  </si>
  <si>
    <r>
      <rPr>
        <sz val="12"/>
        <color rgb="FF000000"/>
        <rFont val="Microsoft YaHei"/>
        <charset val="134"/>
      </rPr>
      <t>エアコン</t>
    </r>
    <r>
      <rPr>
        <sz val="12"/>
        <color rgb="FF000000"/>
        <rFont val="宋体-简"/>
        <charset val="134"/>
      </rPr>
      <t>設</t>
    </r>
    <r>
      <rPr>
        <sz val="12"/>
        <color rgb="FF000000"/>
        <rFont val="Microsoft YaHei"/>
        <charset val="134"/>
      </rPr>
      <t>置工事</t>
    </r>
    <r>
      <rPr>
        <sz val="12"/>
        <color rgb="FF000000"/>
        <rFont val="宋体-简"/>
        <charset val="134"/>
      </rPr>
      <t>費</t>
    </r>
  </si>
  <si>
    <t>式</t>
  </si>
  <si>
    <r>
      <rPr>
        <sz val="12"/>
        <color rgb="FF000000"/>
        <rFont val="Microsoft YaHei"/>
        <charset val="134"/>
      </rPr>
      <t>副</t>
    </r>
    <r>
      <rPr>
        <sz val="12"/>
        <color rgb="FF000000"/>
        <rFont val="宋体-简"/>
        <charset val="134"/>
      </rPr>
      <t>資</t>
    </r>
    <r>
      <rPr>
        <sz val="12"/>
        <color rgb="FF000000"/>
        <rFont val="Microsoft YaHei"/>
        <charset val="134"/>
      </rPr>
      <t>材</t>
    </r>
    <r>
      <rPr>
        <sz val="12"/>
        <color rgb="FF000000"/>
        <rFont val="宋体-简"/>
        <charset val="134"/>
      </rPr>
      <t>費</t>
    </r>
  </si>
  <si>
    <r>
      <rPr>
        <sz val="14"/>
        <color rgb="FF000000"/>
        <rFont val="微软雅黑"/>
        <charset val="134"/>
      </rPr>
      <t>小</t>
    </r>
    <r>
      <rPr>
        <sz val="14"/>
        <color rgb="FF000000"/>
        <rFont val="宋体-简"/>
        <charset val="134"/>
      </rPr>
      <t>計</t>
    </r>
    <r>
      <rPr>
        <sz val="14"/>
        <color rgb="FF000000"/>
        <rFont val="微软雅黑"/>
        <charset val="134"/>
      </rPr>
      <t>：</t>
    </r>
  </si>
  <si>
    <r>
      <t>東</t>
    </r>
    <r>
      <rPr>
        <sz val="12"/>
        <color rgb="FF000000"/>
        <rFont val="Microsoft YaHei"/>
        <charset val="134"/>
      </rPr>
      <t>京都台</t>
    </r>
    <r>
      <rPr>
        <sz val="12"/>
        <color rgb="FF000000"/>
        <rFont val="宋体-简"/>
        <charset val="134"/>
      </rPr>
      <t>東</t>
    </r>
    <r>
      <rPr>
        <sz val="12"/>
        <color rgb="FF000000"/>
        <rFont val="Microsoft YaHei"/>
        <charset val="134"/>
      </rPr>
      <t>区千束2丁目4-4高村ビル302  植草　康浩TEL：090-1845-9934  天井石膏ボード</t>
    </r>
    <r>
      <rPr>
        <sz val="12"/>
        <color rgb="FF000000"/>
        <rFont val="宋体-简"/>
        <charset val="134"/>
      </rPr>
      <t>張</t>
    </r>
    <r>
      <rPr>
        <sz val="12"/>
        <color rgb="FF000000"/>
        <rFont val="Microsoft YaHei"/>
        <charset val="134"/>
      </rPr>
      <t>替え</t>
    </r>
    <r>
      <rPr>
        <sz val="12"/>
        <color rgb="FF000000"/>
        <rFont val="宋体-简"/>
        <charset val="134"/>
      </rPr>
      <t>補</t>
    </r>
    <r>
      <rPr>
        <sz val="12"/>
        <color rgb="FF000000"/>
        <rFont val="Microsoft YaHei"/>
        <charset val="134"/>
      </rPr>
      <t>修工事7/9，</t>
    </r>
  </si>
  <si>
    <t>石膏板材料费</t>
  </si>
  <si>
    <t>张</t>
  </si>
  <si>
    <t>壁纸材料费</t>
  </si>
  <si>
    <t>米</t>
  </si>
  <si>
    <t>サービス</t>
  </si>
  <si>
    <t>石膏板拆除补修人工费</t>
  </si>
  <si>
    <t>壁纸施工人工费</t>
  </si>
  <si>
    <t>补料费</t>
  </si>
  <si>
    <r>
      <rPr>
        <sz val="12"/>
        <color rgb="FF000000"/>
        <rFont val="微软雅黑"/>
        <charset val="134"/>
      </rPr>
      <t>交通</t>
    </r>
    <r>
      <rPr>
        <sz val="12"/>
        <color rgb="FF000000"/>
        <rFont val="宋体-简"/>
        <charset val="134"/>
      </rPr>
      <t>費</t>
    </r>
    <r>
      <rPr>
        <sz val="12"/>
        <color rgb="FF000000"/>
        <rFont val="冬青黑体简体中文"/>
        <charset val="134"/>
      </rPr>
      <t>・</t>
    </r>
    <r>
      <rPr>
        <sz val="12"/>
        <color rgb="FF000000"/>
        <rFont val="宋体-简"/>
        <charset val="134"/>
      </rPr>
      <t>駐車場</t>
    </r>
    <r>
      <rPr>
        <sz val="12"/>
        <color rgb="FF000000"/>
        <rFont val="微软雅黑"/>
        <charset val="134"/>
      </rPr>
      <t>代</t>
    </r>
  </si>
  <si>
    <r>
      <rPr>
        <sz val="12"/>
        <color rgb="FF000000"/>
        <rFont val="蘋果儷中黑"/>
        <charset val="134"/>
      </rPr>
      <t>東京都台東</t>
    </r>
    <r>
      <rPr>
        <sz val="12"/>
        <color rgb="FF000000"/>
        <rFont val="宋体-简"/>
        <charset val="134"/>
      </rPr>
      <t>区</t>
    </r>
    <r>
      <rPr>
        <sz val="12"/>
        <color rgb="FF000000"/>
        <rFont val="蘋果儷中黑"/>
        <charset val="134"/>
      </rPr>
      <t>千束2丁目4-4高村</t>
    </r>
    <r>
      <rPr>
        <sz val="12"/>
        <color rgb="FF000000"/>
        <rFont val="冬青黑体简体中文"/>
        <charset val="134"/>
      </rPr>
      <t>ビル</t>
    </r>
    <r>
      <rPr>
        <sz val="12"/>
        <color rgb="FF000000"/>
        <rFont val="蘋果儷中黑"/>
        <charset val="134"/>
      </rPr>
      <t xml:space="preserve">302植草　康浩
TEL：090-1845-9934  </t>
    </r>
    <r>
      <rPr>
        <sz val="12"/>
        <color rgb="FF000000"/>
        <rFont val="微软雅黑"/>
        <charset val="134"/>
      </rPr>
      <t>漏水</t>
    </r>
    <r>
      <rPr>
        <sz val="12"/>
        <color rgb="FF000000"/>
        <rFont val="宋体-简"/>
        <charset val="134"/>
      </rPr>
      <t>緊</t>
    </r>
    <r>
      <rPr>
        <sz val="12"/>
        <color rgb="FF000000"/>
        <rFont val="微软雅黑"/>
        <charset val="134"/>
      </rPr>
      <t>急</t>
    </r>
    <r>
      <rPr>
        <sz val="12"/>
        <color rgb="FF000000"/>
        <rFont val="宋体-简"/>
        <charset val="134"/>
      </rPr>
      <t>現</t>
    </r>
    <r>
      <rPr>
        <sz val="12"/>
        <color rgb="FF000000"/>
        <rFont val="微软雅黑"/>
        <charset val="134"/>
      </rPr>
      <t>地</t>
    </r>
    <r>
      <rPr>
        <sz val="12"/>
        <color rgb="FF000000"/>
        <rFont val="宋体-简"/>
        <charset val="134"/>
      </rPr>
      <t>調査处理费</t>
    </r>
    <r>
      <rPr>
        <sz val="12"/>
        <color rgb="FF000000"/>
        <rFont val="微软雅黑"/>
        <charset val="134"/>
      </rPr>
      <t>6/29</t>
    </r>
  </si>
  <si>
    <r>
      <rPr>
        <sz val="12"/>
        <color rgb="FF000000"/>
        <rFont val="微软雅黑"/>
        <charset val="134"/>
      </rPr>
      <t>漏水</t>
    </r>
    <r>
      <rPr>
        <sz val="12"/>
        <color rgb="FF000000"/>
        <rFont val="宋体-简"/>
        <charset val="134"/>
      </rPr>
      <t>現</t>
    </r>
    <r>
      <rPr>
        <sz val="12"/>
        <color rgb="FF000000"/>
        <rFont val="微软雅黑"/>
        <charset val="134"/>
      </rPr>
      <t>地</t>
    </r>
    <r>
      <rPr>
        <sz val="12"/>
        <color rgb="FF000000"/>
        <rFont val="宋体-简"/>
        <charset val="134"/>
      </rPr>
      <t>調査費</t>
    </r>
  </si>
  <si>
    <r>
      <rPr>
        <sz val="12"/>
        <color rgb="FF000000"/>
        <rFont val="微软雅黑"/>
        <charset val="134"/>
      </rPr>
      <t>漏水</t>
    </r>
    <r>
      <rPr>
        <sz val="12"/>
        <color rgb="FF000000"/>
        <rFont val="宋体-简"/>
        <charset val="134"/>
      </rPr>
      <t>補</t>
    </r>
    <r>
      <rPr>
        <sz val="12"/>
        <color rgb="FF000000"/>
        <rFont val="微软雅黑"/>
        <charset val="134"/>
      </rPr>
      <t>修工事</t>
    </r>
    <r>
      <rPr>
        <sz val="12"/>
        <color rgb="FF000000"/>
        <rFont val="宋体-简"/>
        <charset val="134"/>
      </rPr>
      <t>費</t>
    </r>
  </si>
  <si>
    <r>
      <rPr>
        <sz val="12"/>
        <color rgb="FF000000"/>
        <rFont val="微软雅黑"/>
        <charset val="134"/>
      </rPr>
      <t>配管材料</t>
    </r>
    <r>
      <rPr>
        <sz val="12"/>
        <color rgb="FF000000"/>
        <rFont val="宋体-简"/>
        <charset val="134"/>
      </rPr>
      <t>費</t>
    </r>
  </si>
  <si>
    <r>
      <rPr>
        <sz val="12"/>
        <color rgb="FF000000"/>
        <rFont val="微软雅黑"/>
        <charset val="134"/>
      </rPr>
      <t>交通</t>
    </r>
    <r>
      <rPr>
        <sz val="12"/>
        <color rgb="FF000000"/>
        <rFont val="宋体-简"/>
        <charset val="134"/>
      </rPr>
      <t>諸経費</t>
    </r>
  </si>
  <si>
    <r>
      <rPr>
        <sz val="12"/>
        <color rgb="FF000000"/>
        <rFont val="微软雅黑"/>
        <charset val="134"/>
      </rPr>
      <t>小</t>
    </r>
    <r>
      <rPr>
        <sz val="12"/>
        <color rgb="FF000000"/>
        <rFont val="宋体-简"/>
        <charset val="134"/>
      </rPr>
      <t>計</t>
    </r>
    <r>
      <rPr>
        <sz val="12"/>
        <color rgb="FF000000"/>
        <rFont val="微软雅黑"/>
        <charset val="134"/>
      </rPr>
      <t>：</t>
    </r>
  </si>
  <si>
    <r>
      <rPr>
        <sz val="12"/>
        <color rgb="FF000000"/>
        <rFont val="微软雅黑"/>
        <charset val="134"/>
      </rPr>
      <t>東</t>
    </r>
    <r>
      <rPr>
        <sz val="12"/>
        <color rgb="FF000000"/>
        <rFont val="Microsoft YaHei"/>
        <charset val="134"/>
      </rPr>
      <t>京都台</t>
    </r>
    <r>
      <rPr>
        <sz val="12"/>
        <color rgb="FF000000"/>
        <rFont val="宋体-简"/>
        <charset val="134"/>
      </rPr>
      <t>東</t>
    </r>
    <r>
      <rPr>
        <sz val="12"/>
        <color rgb="FF000000"/>
        <rFont val="Microsoft YaHei"/>
        <charset val="134"/>
      </rPr>
      <t>区</t>
    </r>
    <r>
      <rPr>
        <sz val="12"/>
        <color rgb="FF000000"/>
        <rFont val="宋体-简"/>
        <charset val="134"/>
      </rPr>
      <t>鳥</t>
    </r>
    <r>
      <rPr>
        <sz val="12"/>
        <color rgb="FF000000"/>
        <rFont val="Microsoft YaHei"/>
        <charset val="134"/>
      </rPr>
      <t>越2丁目7-16　</t>
    </r>
    <r>
      <rPr>
        <sz val="12"/>
        <color rgb="FF000000"/>
        <rFont val="宋体-简"/>
        <charset val="134"/>
      </rPr>
      <t>鳥</t>
    </r>
    <r>
      <rPr>
        <sz val="12"/>
        <color rgb="FF000000"/>
        <rFont val="Microsoft YaHei"/>
        <charset val="134"/>
      </rPr>
      <t>越タワーテラス　202室前田</t>
    </r>
    <r>
      <rPr>
        <sz val="12"/>
        <color rgb="FF000000"/>
        <rFont val="宋体-简"/>
        <charset val="134"/>
      </rPr>
      <t>様</t>
    </r>
    <r>
      <rPr>
        <sz val="12"/>
        <color rgb="FF000000"/>
        <rFont val="Microsoft YaHei"/>
        <charset val="134"/>
      </rPr>
      <t xml:space="preserve">　TEL:090-7314-4729 </t>
    </r>
    <r>
      <rPr>
        <sz val="12"/>
        <color rgb="FF000000"/>
        <rFont val="宋体-简"/>
        <charset val="134"/>
      </rPr>
      <t>台所水栓交換及び設備点検</t>
    </r>
    <r>
      <rPr>
        <sz val="12"/>
        <color rgb="FF000000"/>
        <rFont val="冬青黑体简体中文"/>
        <charset val="134"/>
      </rPr>
      <t>・</t>
    </r>
    <r>
      <rPr>
        <sz val="12"/>
        <color rgb="FF000000"/>
        <rFont val="宋体-简"/>
        <charset val="134"/>
      </rPr>
      <t>補修工事6/24</t>
    </r>
  </si>
  <si>
    <t>台所水栓本体
取付材料費</t>
  </si>
  <si>
    <t>台所水栓交換工事</t>
  </si>
  <si>
    <t>エアコン点検</t>
  </si>
  <si>
    <t>レンジフード点検</t>
  </si>
  <si>
    <t>交通費・駐車場代</t>
  </si>
  <si>
    <t>小計：</t>
  </si>
  <si>
    <r>
      <rPr>
        <sz val="14"/>
        <color rgb="FF000000"/>
        <rFont val="宋体-简"/>
        <charset val="134"/>
      </rPr>
      <t>埼</t>
    </r>
    <r>
      <rPr>
        <sz val="14"/>
        <color rgb="FF000000"/>
        <rFont val="微软雅黑"/>
        <charset val="134"/>
      </rPr>
      <t>玉县户田市喜泽1丁目31-48  ブライトン2. 102  排水管破</t>
    </r>
    <r>
      <rPr>
        <sz val="14"/>
        <color rgb="FF000000"/>
        <rFont val="宋体-简"/>
        <charset val="134"/>
      </rPr>
      <t>損</t>
    </r>
    <r>
      <rPr>
        <sz val="14"/>
        <color rgb="FF000000"/>
        <rFont val="微软雅黑"/>
        <charset val="134"/>
      </rPr>
      <t>に伴う交</t>
    </r>
    <r>
      <rPr>
        <sz val="14"/>
        <color rgb="FF000000"/>
        <rFont val="宋体-简"/>
        <charset val="134"/>
      </rPr>
      <t>換</t>
    </r>
    <r>
      <rPr>
        <sz val="14"/>
        <color rgb="FF000000"/>
        <rFont val="微软雅黑"/>
        <charset val="134"/>
      </rPr>
      <t>工事</t>
    </r>
    <r>
      <rPr>
        <sz val="14"/>
        <color rgb="FF000000"/>
        <rFont val="宋体-简"/>
        <charset val="134"/>
      </rPr>
      <t xml:space="preserve">  6/24</t>
    </r>
  </si>
  <si>
    <r>
      <rPr>
        <sz val="12"/>
        <color rgb="FF000000"/>
        <rFont val="微软雅黑"/>
        <charset val="134"/>
      </rPr>
      <t>排水管破</t>
    </r>
    <r>
      <rPr>
        <sz val="12"/>
        <color rgb="FF000000"/>
        <rFont val="宋体-简"/>
        <charset val="134"/>
      </rPr>
      <t>損</t>
    </r>
    <r>
      <rPr>
        <sz val="12"/>
        <color rgb="FF000000"/>
        <rFont val="微软雅黑"/>
        <charset val="134"/>
      </rPr>
      <t>部交</t>
    </r>
    <r>
      <rPr>
        <sz val="12"/>
        <color rgb="FF000000"/>
        <rFont val="宋体-简"/>
        <charset val="134"/>
      </rPr>
      <t>換</t>
    </r>
    <r>
      <rPr>
        <sz val="12"/>
        <color rgb="FF000000"/>
        <rFont val="微软雅黑"/>
        <charset val="134"/>
      </rPr>
      <t>工事</t>
    </r>
  </si>
  <si>
    <r>
      <rPr>
        <sz val="12"/>
        <color rgb="FF000000"/>
        <rFont val="微软雅黑"/>
        <charset val="134"/>
      </rPr>
      <t>排水管材料</t>
    </r>
    <r>
      <rPr>
        <sz val="12"/>
        <color rgb="FF000000"/>
        <rFont val="宋体-简"/>
        <charset val="134"/>
      </rPr>
      <t>費</t>
    </r>
  </si>
  <si>
    <r>
      <rPr>
        <sz val="12"/>
        <color rgb="FF000000"/>
        <rFont val="微软雅黑"/>
        <charset val="134"/>
      </rPr>
      <t>外壁</t>
    </r>
    <r>
      <rPr>
        <sz val="12"/>
        <color rgb="FF000000"/>
        <rFont val="宋体-简"/>
        <charset val="134"/>
      </rPr>
      <t>塗</t>
    </r>
    <r>
      <rPr>
        <sz val="12"/>
        <color rgb="FF000000"/>
        <rFont val="微软雅黑"/>
        <charset val="134"/>
      </rPr>
      <t>膜</t>
    </r>
    <r>
      <rPr>
        <sz val="12"/>
        <color rgb="FF000000"/>
        <rFont val="宋体-简"/>
        <charset val="134"/>
      </rPr>
      <t>補</t>
    </r>
    <r>
      <rPr>
        <sz val="12"/>
        <color rgb="FF000000"/>
        <rFont val="微软雅黑"/>
        <charset val="134"/>
      </rPr>
      <t>修</t>
    </r>
    <r>
      <rPr>
        <sz val="12"/>
        <color rgb="FF000000"/>
        <rFont val="宋体-简"/>
        <charset val="134"/>
      </rPr>
      <t>費</t>
    </r>
  </si>
  <si>
    <r>
      <rPr>
        <sz val="12"/>
        <color rgb="FF000000"/>
        <rFont val="微软雅黑"/>
        <charset val="134"/>
      </rPr>
      <t>破</t>
    </r>
    <r>
      <rPr>
        <sz val="12"/>
        <color rgb="FF000000"/>
        <rFont val="宋体-简"/>
        <charset val="134"/>
      </rPr>
      <t>損</t>
    </r>
    <r>
      <rPr>
        <sz val="12"/>
        <color rgb="FF000000"/>
        <rFont val="微软雅黑"/>
        <charset val="134"/>
      </rPr>
      <t>管撤去</t>
    </r>
    <r>
      <rPr>
        <sz val="12"/>
        <color rgb="FF000000"/>
        <rFont val="冬青黑体简体中文"/>
        <charset val="134"/>
      </rPr>
      <t>・</t>
    </r>
    <r>
      <rPr>
        <sz val="12"/>
        <color rgb="FF000000"/>
        <rFont val="宋体-简"/>
        <charset val="134"/>
      </rPr>
      <t>処</t>
    </r>
    <r>
      <rPr>
        <sz val="12"/>
        <color rgb="FF000000"/>
        <rFont val="微软雅黑"/>
        <charset val="134"/>
      </rPr>
      <t>分</t>
    </r>
    <r>
      <rPr>
        <sz val="12"/>
        <color rgb="FF000000"/>
        <rFont val="宋体-简"/>
        <charset val="134"/>
      </rPr>
      <t>費</t>
    </r>
    <r>
      <rPr>
        <sz val="12"/>
        <color rgb="FF000000"/>
        <rFont val="微软雅黑"/>
        <charset val="134"/>
      </rPr>
      <t>　</t>
    </r>
  </si>
  <si>
    <t>小　　　　計</t>
  </si>
  <si>
    <t>消費税</t>
  </si>
  <si>
    <t>合　　　　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</si>
</sst>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_ &quot;￥&quot;* #,##0_ ;_ &quot;￥&quot;* \-#,##0_ ;_ &quot;￥&quot;* &quot;-&quot;_ ;_ @_ "/>
    <numFmt numFmtId="178" formatCode="[$¥-411]#,##0_);[Red]\([$¥-411]#,##0\)"/>
    <numFmt numFmtId="179" formatCode="&quot;￥&quot;#,##0&quot; &quot;;&quot;(￥&quot;#,##0\)"/>
  </numFmts>
  <fonts count="35">
    <font>
      <sz val="11"/>
      <color indexed="8"/>
      <name val="ＭＳ 明朝"/>
      <charset val="134"/>
    </font>
    <font>
      <sz val="12"/>
      <color indexed="8"/>
      <name val="Microsoft YaHei"/>
      <charset val="134"/>
    </font>
    <font>
      <sz val="18"/>
      <color rgb="FF000000"/>
      <name val="Microsoft YaHei"/>
      <charset val="134"/>
    </font>
    <font>
      <b/>
      <sz val="12"/>
      <color indexed="8"/>
      <name val="Microsoft YaHei"/>
      <charset val="134"/>
    </font>
    <font>
      <sz val="12"/>
      <color indexed="12"/>
      <name val="Microsoft YaHei"/>
      <charset val="134"/>
    </font>
    <font>
      <sz val="12"/>
      <color rgb="FF000000"/>
      <name val="宋体-简"/>
      <charset val="134"/>
    </font>
    <font>
      <sz val="12"/>
      <color rgb="FF000000"/>
      <name val="Microsoft YaHei"/>
      <charset val="134"/>
    </font>
    <font>
      <sz val="18"/>
      <color rgb="FF000000"/>
      <name val="宋体-简"/>
      <charset val="134"/>
    </font>
    <font>
      <sz val="14"/>
      <color rgb="FF000000"/>
      <name val="微软雅黑"/>
      <charset val="134"/>
    </font>
    <font>
      <sz val="14"/>
      <color indexed="8"/>
      <name val="微软雅黑"/>
      <charset val="134"/>
    </font>
    <font>
      <sz val="12"/>
      <color rgb="FF000000"/>
      <name val="微软雅黑"/>
      <charset val="134"/>
    </font>
    <font>
      <sz val="12"/>
      <color indexed="8"/>
      <name val="微软雅黑"/>
      <charset val="134"/>
    </font>
    <font>
      <sz val="12"/>
      <color rgb="FF000000"/>
      <name val="蘋果儷中黑"/>
      <charset val="134"/>
    </font>
    <font>
      <sz val="14"/>
      <color rgb="FF000000"/>
      <name val="宋体-简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rgb="FF000000"/>
      <name val="冬青黑体简体中文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10"/>
      </right>
      <top style="medium">
        <color auto="1"/>
      </top>
      <bottom/>
      <diagonal/>
    </border>
    <border>
      <left style="thin">
        <color indexed="10"/>
      </left>
      <right style="thin">
        <color indexed="10"/>
      </right>
      <top style="medium">
        <color auto="1"/>
      </top>
      <bottom style="thin">
        <color indexed="10"/>
      </bottom>
      <diagonal/>
    </border>
    <border>
      <left style="thin">
        <color indexed="10"/>
      </left>
      <right style="medium">
        <color auto="1"/>
      </right>
      <top style="medium">
        <color auto="1"/>
      </top>
      <bottom style="thin">
        <color indexed="10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auto="1"/>
      </right>
      <top style="thin">
        <color indexed="10"/>
      </top>
      <bottom style="thin">
        <color indexed="10"/>
      </bottom>
      <diagonal/>
    </border>
    <border>
      <left style="medium">
        <color auto="1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medium">
        <color auto="1"/>
      </left>
      <right style="thin">
        <color indexed="10"/>
      </right>
      <top style="thin">
        <color indexed="10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auto="1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auto="1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auto="1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auto="1"/>
      </left>
      <right style="thin">
        <color indexed="10"/>
      </right>
      <top style="thin">
        <color indexed="11"/>
      </top>
      <bottom style="medium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medium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auto="1"/>
      </left>
      <right style="thin">
        <color indexed="10"/>
      </right>
      <top style="medium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thin">
        <color indexed="10"/>
      </bottom>
      <diagonal/>
    </border>
    <border>
      <left style="medium">
        <color auto="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1"/>
      </bottom>
      <diagonal/>
    </border>
    <border>
      <left style="medium">
        <color auto="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medium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thin">
        <color indexed="10"/>
      </left>
      <right style="medium">
        <color auto="1"/>
      </right>
      <top style="thin">
        <color indexed="10"/>
      </top>
      <bottom style="medium">
        <color indexed="12"/>
      </bottom>
      <diagonal/>
    </border>
    <border>
      <left style="medium">
        <color auto="1"/>
      </left>
      <right style="thin">
        <color indexed="10"/>
      </right>
      <top style="thin">
        <color indexed="10"/>
      </top>
      <bottom style="medium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11"/>
      </bottom>
      <diagonal/>
    </border>
    <border>
      <left style="thin">
        <color indexed="11"/>
      </left>
      <right style="medium">
        <color indexed="12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/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medium">
        <color auto="1"/>
      </right>
      <top style="medium">
        <color indexed="12"/>
      </top>
      <bottom style="thin">
        <color indexed="12"/>
      </bottom>
      <diagonal/>
    </border>
    <border>
      <left style="thin">
        <color indexed="10"/>
      </left>
      <right style="medium">
        <color indexed="12"/>
      </right>
      <top style="thin">
        <color indexed="10"/>
      </top>
      <bottom style="thin">
        <color indexed="10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auto="1"/>
      </right>
      <top style="thin">
        <color indexed="12"/>
      </top>
      <bottom style="thin">
        <color indexed="12"/>
      </bottom>
      <diagonal/>
    </border>
    <border>
      <left style="medium">
        <color auto="1"/>
      </left>
      <right style="thin">
        <color indexed="10"/>
      </right>
      <top style="thin">
        <color indexed="10"/>
      </top>
      <bottom style="medium">
        <color indexed="12"/>
      </bottom>
      <diagonal/>
    </border>
    <border>
      <left style="medium">
        <color auto="1"/>
      </left>
      <right style="thin">
        <color indexed="10"/>
      </right>
      <top style="medium">
        <color indexed="12"/>
      </top>
      <bottom style="medium">
        <color indexed="12"/>
      </bottom>
      <diagonal/>
    </border>
    <border>
      <left style="thin">
        <color indexed="10"/>
      </left>
      <right style="thin">
        <color indexed="10"/>
      </right>
      <top style="medium">
        <color indexed="12"/>
      </top>
      <bottom style="medium">
        <color indexed="12"/>
      </bottom>
      <diagonal/>
    </border>
    <border>
      <left style="thin">
        <color indexed="10"/>
      </left>
      <right style="medium">
        <color indexed="12"/>
      </right>
      <top style="thin">
        <color indexed="10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auto="1"/>
      </right>
      <top style="thin">
        <color indexed="12"/>
      </top>
      <bottom style="medium">
        <color indexed="12"/>
      </bottom>
      <diagonal/>
    </border>
    <border>
      <left style="medium">
        <color auto="1"/>
      </left>
      <right style="thin">
        <color indexed="10"/>
      </right>
      <top style="medium">
        <color indexed="12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2"/>
      </top>
      <bottom style="medium">
        <color indexed="11"/>
      </bottom>
      <diagonal/>
    </border>
    <border>
      <left style="thin">
        <color indexed="10"/>
      </left>
      <right style="thin">
        <color indexed="10"/>
      </right>
      <top style="medium">
        <color indexed="12"/>
      </top>
      <bottom style="thin">
        <color indexed="11"/>
      </bottom>
      <diagonal/>
    </border>
    <border>
      <left style="thin">
        <color indexed="10"/>
      </left>
      <right style="medium">
        <color auto="1"/>
      </right>
      <top style="medium">
        <color indexed="12"/>
      </top>
      <bottom style="thin">
        <color indexed="11"/>
      </bottom>
      <diagonal/>
    </border>
    <border>
      <left style="medium">
        <color auto="1"/>
      </left>
      <right style="thin">
        <color indexed="10"/>
      </right>
      <top style="medium">
        <color indexed="11"/>
      </top>
      <bottom style="medium">
        <color auto="1"/>
      </bottom>
      <diagonal/>
    </border>
    <border>
      <left style="thin">
        <color indexed="10"/>
      </left>
      <right style="thin">
        <color indexed="10"/>
      </right>
      <top style="medium">
        <color indexed="11"/>
      </top>
      <bottom style="medium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medium">
        <color auto="1"/>
      </bottom>
      <diagonal/>
    </border>
    <border>
      <left style="thin">
        <color indexed="10"/>
      </left>
      <right style="medium">
        <color auto="1"/>
      </right>
      <top style="thin">
        <color indexed="1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15"/>
      </bottom>
      <diagonal/>
    </border>
    <border>
      <left/>
      <right style="medium">
        <color indexed="8"/>
      </right>
      <top style="medium">
        <color auto="1"/>
      </top>
      <bottom style="thin">
        <color indexed="15"/>
      </bottom>
      <diagonal/>
    </border>
    <border>
      <left style="medium">
        <color indexed="8"/>
      </left>
      <right style="medium">
        <color indexed="8"/>
      </right>
      <top style="medium">
        <color auto="1"/>
      </top>
      <bottom style="thin">
        <color indexed="15"/>
      </bottom>
      <diagonal/>
    </border>
    <border>
      <left style="medium">
        <color indexed="8"/>
      </left>
      <right style="thin">
        <color indexed="8"/>
      </right>
      <top style="medium">
        <color auto="1"/>
      </top>
      <bottom style="thin">
        <color indexed="15"/>
      </bottom>
      <diagonal/>
    </border>
    <border>
      <left style="thin">
        <color indexed="8"/>
      </left>
      <right style="medium">
        <color indexed="8"/>
      </right>
      <top style="medium">
        <color auto="1"/>
      </top>
      <bottom style="thin">
        <color indexed="15"/>
      </bottom>
      <diagonal/>
    </border>
    <border>
      <left style="medium">
        <color indexed="8"/>
      </left>
      <right style="thick">
        <color indexed="8"/>
      </right>
      <top style="medium">
        <color auto="1"/>
      </top>
      <bottom style="thin">
        <color indexed="15"/>
      </bottom>
      <diagonal/>
    </border>
    <border>
      <left style="thick">
        <color indexed="8"/>
      </left>
      <right style="medium">
        <color auto="1"/>
      </right>
      <top style="medium">
        <color auto="1"/>
      </top>
      <bottom style="thin">
        <color indexed="15"/>
      </bottom>
      <diagonal/>
    </border>
    <border>
      <left style="medium">
        <color auto="1"/>
      </left>
      <right/>
      <top style="thin">
        <color indexed="15"/>
      </top>
      <bottom style="thick">
        <color indexed="8"/>
      </bottom>
      <diagonal/>
    </border>
    <border>
      <left/>
      <right style="medium">
        <color indexed="8"/>
      </right>
      <top style="thin">
        <color indexed="15"/>
      </top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5"/>
      </top>
      <bottom style="thick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15"/>
      </top>
      <bottom style="thick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15"/>
      </top>
      <bottom style="thick">
        <color indexed="8"/>
      </bottom>
      <diagonal/>
    </border>
    <border>
      <left style="medium">
        <color indexed="8"/>
      </left>
      <right style="thick">
        <color indexed="8"/>
      </right>
      <top style="thin">
        <color indexed="15"/>
      </top>
      <bottom style="thick">
        <color indexed="8"/>
      </bottom>
      <diagonal/>
    </border>
    <border>
      <left style="thick">
        <color indexed="8"/>
      </left>
      <right style="medium">
        <color auto="1"/>
      </right>
      <top style="thin">
        <color indexed="15"/>
      </top>
      <bottom style="thick">
        <color indexed="8"/>
      </bottom>
      <diagonal/>
    </border>
    <border>
      <left style="medium">
        <color auto="1"/>
      </left>
      <right style="thin">
        <color indexed="10"/>
      </right>
      <top style="thick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ck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10"/>
      </right>
      <top/>
      <bottom style="thin">
        <color auto="1"/>
      </bottom>
      <diagonal/>
    </border>
    <border>
      <left style="thin">
        <color indexed="10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16"/>
      </bottom>
      <diagonal/>
    </border>
    <border>
      <left style="medium">
        <color auto="1"/>
      </left>
      <right style="thin">
        <color indexed="10"/>
      </right>
      <top style="thin">
        <color indexed="8"/>
      </top>
      <bottom style="thin">
        <color indexed="16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6"/>
      </bottom>
      <diagonal/>
    </border>
    <border>
      <left style="medium">
        <color auto="1"/>
      </left>
      <right style="thin">
        <color indexed="10"/>
      </right>
      <top style="thin">
        <color indexed="16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6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16"/>
      </top>
      <bottom style="thin">
        <color indexed="8"/>
      </bottom>
      <diagonal/>
    </border>
    <border>
      <left style="medium">
        <color auto="1"/>
      </left>
      <right style="thin">
        <color indexed="10"/>
      </right>
      <top style="thin">
        <color auto="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10"/>
      </right>
      <top style="thin">
        <color indexed="8"/>
      </top>
      <bottom style="thin">
        <color auto="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10"/>
      </right>
      <top style="thin">
        <color indexed="8"/>
      </top>
      <bottom style="thick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medium">
        <color auto="1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ck">
        <color indexed="8"/>
      </top>
      <bottom style="medium">
        <color auto="1"/>
      </bottom>
      <diagonal/>
    </border>
    <border>
      <left/>
      <right/>
      <top style="thick">
        <color indexed="8"/>
      </top>
      <bottom style="medium">
        <color auto="1"/>
      </bottom>
      <diagonal/>
    </border>
    <border>
      <left/>
      <right style="thick">
        <color indexed="8"/>
      </right>
      <top style="thick">
        <color indexed="8"/>
      </top>
      <bottom style="medium">
        <color auto="1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medium">
        <color auto="1"/>
      </bottom>
      <diagonal/>
    </border>
    <border>
      <left style="thick">
        <color indexed="8"/>
      </left>
      <right style="thin">
        <color indexed="10"/>
      </right>
      <top style="thin">
        <color indexed="8"/>
      </top>
      <bottom style="medium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medium">
        <color auto="1"/>
      </bottom>
      <diagonal/>
    </border>
    <border>
      <left style="thin">
        <color indexed="10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2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3" applyNumberFormat="0" applyFill="0" applyAlignment="0" applyProtection="0">
      <alignment vertical="center"/>
    </xf>
    <xf numFmtId="0" fontId="21" fillId="0" borderId="123" applyNumberFormat="0" applyFill="0" applyAlignment="0" applyProtection="0">
      <alignment vertical="center"/>
    </xf>
    <xf numFmtId="0" fontId="22" fillId="0" borderId="12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25" applyNumberFormat="0" applyAlignment="0" applyProtection="0">
      <alignment vertical="center"/>
    </xf>
    <xf numFmtId="0" fontId="24" fillId="9" borderId="126" applyNumberFormat="0" applyAlignment="0" applyProtection="0">
      <alignment vertical="center"/>
    </xf>
    <xf numFmtId="0" fontId="25" fillId="9" borderId="125" applyNumberFormat="0" applyAlignment="0" applyProtection="0">
      <alignment vertical="center"/>
    </xf>
    <xf numFmtId="0" fontId="26" fillId="10" borderId="127" applyNumberFormat="0" applyAlignment="0" applyProtection="0">
      <alignment vertical="center"/>
    </xf>
    <xf numFmtId="0" fontId="27" fillId="0" borderId="128" applyNumberFormat="0" applyFill="0" applyAlignment="0" applyProtection="0">
      <alignment vertical="center"/>
    </xf>
    <xf numFmtId="0" fontId="28" fillId="0" borderId="12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213">
    <xf numFmtId="0" fontId="0" fillId="0" borderId="0" xfId="0" applyFont="1" applyAlignment="1"/>
    <xf numFmtId="0" fontId="0" fillId="0" borderId="0" xfId="0" applyNumberFormat="1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/>
    <xf numFmtId="0" fontId="1" fillId="2" borderId="0" xfId="0" applyFont="1" applyFill="1" applyBorder="1" applyAlignment="1"/>
    <xf numFmtId="0" fontId="1" fillId="2" borderId="7" xfId="0" applyFont="1" applyFill="1" applyBorder="1" applyAlignment="1"/>
    <xf numFmtId="0" fontId="1" fillId="2" borderId="8" xfId="0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right" vertical="center"/>
    </xf>
    <xf numFmtId="49" fontId="1" fillId="2" borderId="9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49" fontId="1" fillId="2" borderId="8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49" fontId="1" fillId="2" borderId="8" xfId="0" applyNumberFormat="1" applyFont="1" applyFill="1" applyBorder="1" applyAlignment="1">
      <alignment horizontal="left" vertical="center"/>
    </xf>
    <xf numFmtId="49" fontId="2" fillId="2" borderId="13" xfId="0" applyNumberFormat="1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right" vertical="center"/>
    </xf>
    <xf numFmtId="49" fontId="1" fillId="2" borderId="8" xfId="0" applyNumberFormat="1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/>
    <xf numFmtId="0" fontId="1" fillId="2" borderId="19" xfId="0" applyFont="1" applyFill="1" applyBorder="1" applyAlignment="1"/>
    <xf numFmtId="0" fontId="1" fillId="2" borderId="8" xfId="0" applyFont="1" applyFill="1" applyBorder="1" applyAlignment="1"/>
    <xf numFmtId="49" fontId="1" fillId="2" borderId="8" xfId="0" applyNumberFormat="1" applyFont="1" applyFill="1" applyBorder="1" applyAlignment="1">
      <alignment vertical="center"/>
    </xf>
    <xf numFmtId="49" fontId="1" fillId="2" borderId="20" xfId="0" applyNumberFormat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49" fontId="1" fillId="2" borderId="22" xfId="0" applyNumberFormat="1" applyFont="1" applyFill="1" applyBorder="1" applyAlignment="1"/>
    <xf numFmtId="0" fontId="1" fillId="2" borderId="8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/>
    <xf numFmtId="49" fontId="1" fillId="2" borderId="26" xfId="0" applyNumberFormat="1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26" xfId="0" applyFont="1" applyFill="1" applyBorder="1" applyAlignment="1"/>
    <xf numFmtId="49" fontId="3" fillId="2" borderId="8" xfId="0" applyNumberFormat="1" applyFont="1" applyFill="1" applyBorder="1" applyAlignment="1">
      <alignment horizontal="left" readingOrder="1"/>
    </xf>
    <xf numFmtId="0" fontId="1" fillId="2" borderId="9" xfId="0" applyFont="1" applyFill="1" applyBorder="1" applyAlignment="1"/>
    <xf numFmtId="0" fontId="1" fillId="2" borderId="27" xfId="0" applyFont="1" applyFill="1" applyBorder="1" applyAlignment="1">
      <alignment vertical="center"/>
    </xf>
    <xf numFmtId="0" fontId="1" fillId="2" borderId="24" xfId="0" applyFont="1" applyFill="1" applyBorder="1" applyAlignment="1"/>
    <xf numFmtId="0" fontId="1" fillId="2" borderId="28" xfId="0" applyFont="1" applyFill="1" applyBorder="1" applyAlignment="1">
      <alignment vertical="center"/>
    </xf>
    <xf numFmtId="0" fontId="1" fillId="2" borderId="22" xfId="0" applyFont="1" applyFill="1" applyBorder="1" applyAlignment="1"/>
    <xf numFmtId="49" fontId="1" fillId="2" borderId="29" xfId="0" applyNumberFormat="1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left" vertical="center"/>
    </xf>
    <xf numFmtId="49" fontId="1" fillId="2" borderId="31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178" fontId="1" fillId="2" borderId="26" xfId="0" applyNumberFormat="1" applyFont="1" applyFill="1" applyBorder="1" applyAlignment="1">
      <alignment horizontal="center" vertical="center"/>
    </xf>
    <xf numFmtId="49" fontId="1" fillId="2" borderId="32" xfId="0" applyNumberFormat="1" applyFont="1" applyFill="1" applyBorder="1" applyAlignment="1">
      <alignment vertical="center"/>
    </xf>
    <xf numFmtId="0" fontId="1" fillId="2" borderId="33" xfId="0" applyFont="1" applyFill="1" applyBorder="1" applyAlignment="1"/>
    <xf numFmtId="49" fontId="1" fillId="3" borderId="34" xfId="0" applyNumberFormat="1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49" fontId="1" fillId="2" borderId="36" xfId="0" applyNumberFormat="1" applyFont="1" applyFill="1" applyBorder="1" applyAlignment="1">
      <alignment horizontal="center" vertical="center"/>
    </xf>
    <xf numFmtId="0" fontId="1" fillId="2" borderId="23" xfId="0" applyFont="1" applyFill="1" applyBorder="1" applyAlignment="1"/>
    <xf numFmtId="0" fontId="1" fillId="2" borderId="37" xfId="0" applyFont="1" applyFill="1" applyBorder="1" applyAlignment="1"/>
    <xf numFmtId="49" fontId="1" fillId="3" borderId="38" xfId="0" applyNumberFormat="1" applyFont="1" applyFill="1" applyBorder="1" applyAlignment="1">
      <alignment horizontal="center" vertical="center"/>
    </xf>
    <xf numFmtId="49" fontId="1" fillId="4" borderId="39" xfId="0" applyNumberFormat="1" applyFont="1" applyFill="1" applyBorder="1" applyAlignment="1">
      <alignment horizontal="center" vertical="center"/>
    </xf>
    <xf numFmtId="49" fontId="1" fillId="2" borderId="40" xfId="0" applyNumberFormat="1" applyFont="1" applyFill="1" applyBorder="1" applyAlignment="1">
      <alignment horizontal="center" vertical="center"/>
    </xf>
    <xf numFmtId="49" fontId="1" fillId="2" borderId="41" xfId="0" applyNumberFormat="1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left" vertical="center"/>
    </xf>
    <xf numFmtId="0" fontId="1" fillId="2" borderId="42" xfId="0" applyFont="1" applyFill="1" applyBorder="1" applyAlignment="1"/>
    <xf numFmtId="0" fontId="1" fillId="2" borderId="43" xfId="0" applyFont="1" applyFill="1" applyBorder="1" applyAlignment="1"/>
    <xf numFmtId="0" fontId="1" fillId="2" borderId="29" xfId="0" applyFont="1" applyFill="1" applyBorder="1" applyAlignment="1"/>
    <xf numFmtId="0" fontId="1" fillId="2" borderId="44" xfId="0" applyFont="1" applyFill="1" applyBorder="1" applyAlignment="1"/>
    <xf numFmtId="49" fontId="1" fillId="3" borderId="45" xfId="0" applyNumberFormat="1" applyFont="1" applyFill="1" applyBorder="1" applyAlignment="1">
      <alignment horizontal="center" vertical="center"/>
    </xf>
    <xf numFmtId="49" fontId="1" fillId="4" borderId="46" xfId="0" applyNumberFormat="1" applyFont="1" applyFill="1" applyBorder="1" applyAlignment="1">
      <alignment horizontal="center" vertical="center"/>
    </xf>
    <xf numFmtId="0" fontId="1" fillId="2" borderId="47" xfId="0" applyNumberFormat="1" applyFont="1" applyFill="1" applyBorder="1" applyAlignment="1">
      <alignment horizontal="center" vertical="center"/>
    </xf>
    <xf numFmtId="49" fontId="1" fillId="2" borderId="48" xfId="0" applyNumberFormat="1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left" vertical="center"/>
    </xf>
    <xf numFmtId="0" fontId="1" fillId="2" borderId="50" xfId="0" applyFont="1" applyFill="1" applyBorder="1" applyAlignment="1"/>
    <xf numFmtId="0" fontId="1" fillId="2" borderId="51" xfId="0" applyFont="1" applyFill="1" applyBorder="1" applyAlignment="1"/>
    <xf numFmtId="0" fontId="1" fillId="2" borderId="52" xfId="0" applyFont="1" applyFill="1" applyBorder="1" applyAlignment="1"/>
    <xf numFmtId="0" fontId="1" fillId="2" borderId="53" xfId="0" applyFont="1" applyFill="1" applyBorder="1" applyAlignment="1"/>
    <xf numFmtId="0" fontId="1" fillId="2" borderId="54" xfId="0" applyFont="1" applyFill="1" applyBorder="1" applyAlignment="1"/>
    <xf numFmtId="0" fontId="1" fillId="2" borderId="55" xfId="0" applyFont="1" applyFill="1" applyBorder="1" applyAlignment="1"/>
    <xf numFmtId="49" fontId="1" fillId="3" borderId="56" xfId="0" applyNumberFormat="1" applyFont="1" applyFill="1" applyBorder="1" applyAlignment="1">
      <alignment horizontal="center" vertical="center"/>
    </xf>
    <xf numFmtId="49" fontId="1" fillId="3" borderId="57" xfId="0" applyNumberFormat="1" applyFont="1" applyFill="1" applyBorder="1" applyAlignment="1">
      <alignment horizontal="center" vertical="center"/>
    </xf>
    <xf numFmtId="49" fontId="1" fillId="3" borderId="58" xfId="0" applyNumberFormat="1" applyFont="1" applyFill="1" applyBorder="1" applyAlignment="1">
      <alignment horizontal="center" vertical="center"/>
    </xf>
    <xf numFmtId="49" fontId="5" fillId="3" borderId="59" xfId="0" applyNumberFormat="1" applyFont="1" applyFill="1" applyBorder="1" applyAlignment="1">
      <alignment horizontal="center" vertical="center"/>
    </xf>
    <xf numFmtId="49" fontId="5" fillId="3" borderId="60" xfId="0" applyNumberFormat="1" applyFont="1" applyFill="1" applyBorder="1" applyAlignment="1">
      <alignment horizontal="center" vertical="center"/>
    </xf>
    <xf numFmtId="49" fontId="6" fillId="3" borderId="58" xfId="0" applyNumberFormat="1" applyFont="1" applyFill="1" applyBorder="1" applyAlignment="1">
      <alignment horizontal="center" vertical="center"/>
    </xf>
    <xf numFmtId="49" fontId="5" fillId="3" borderId="61" xfId="0" applyNumberFormat="1" applyFont="1" applyFill="1" applyBorder="1" applyAlignment="1">
      <alignment horizontal="center" vertical="center"/>
    </xf>
    <xf numFmtId="49" fontId="1" fillId="3" borderId="62" xfId="0" applyNumberFormat="1" applyFont="1" applyFill="1" applyBorder="1" applyAlignment="1">
      <alignment horizontal="center" vertical="center"/>
    </xf>
    <xf numFmtId="0" fontId="1" fillId="4" borderId="63" xfId="0" applyFont="1" applyFill="1" applyBorder="1" applyAlignment="1">
      <alignment horizontal="center" vertical="center"/>
    </xf>
    <xf numFmtId="0" fontId="1" fillId="4" borderId="64" xfId="0" applyFont="1" applyFill="1" applyBorder="1" applyAlignment="1">
      <alignment horizontal="center" vertical="center"/>
    </xf>
    <xf numFmtId="0" fontId="1" fillId="4" borderId="65" xfId="0" applyFont="1" applyFill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1" fillId="4" borderId="67" xfId="0" applyFont="1" applyFill="1" applyBorder="1" applyAlignment="1">
      <alignment horizontal="center" vertical="center"/>
    </xf>
    <xf numFmtId="0" fontId="1" fillId="4" borderId="68" xfId="0" applyFont="1" applyFill="1" applyBorder="1" applyAlignment="1">
      <alignment horizontal="center" vertical="center"/>
    </xf>
    <xf numFmtId="0" fontId="1" fillId="4" borderId="69" xfId="0" applyFont="1" applyFill="1" applyBorder="1" applyAlignment="1">
      <alignment horizontal="center" vertical="center"/>
    </xf>
    <xf numFmtId="49" fontId="7" fillId="2" borderId="70" xfId="0" applyNumberFormat="1" applyFont="1" applyFill="1" applyBorder="1" applyAlignment="1">
      <alignment horizontal="center" vertical="center" wrapText="1"/>
    </xf>
    <xf numFmtId="49" fontId="7" fillId="2" borderId="71" xfId="0" applyNumberFormat="1" applyFont="1" applyFill="1" applyBorder="1" applyAlignment="1">
      <alignment horizontal="center" vertical="center"/>
    </xf>
    <xf numFmtId="49" fontId="7" fillId="2" borderId="72" xfId="0" applyNumberFormat="1" applyFont="1" applyFill="1" applyBorder="1" applyAlignment="1">
      <alignment horizontal="center" vertical="center"/>
    </xf>
    <xf numFmtId="49" fontId="7" fillId="2" borderId="73" xfId="0" applyNumberFormat="1" applyFont="1" applyFill="1" applyBorder="1" applyAlignment="1">
      <alignment horizontal="center" vertical="center"/>
    </xf>
    <xf numFmtId="49" fontId="5" fillId="2" borderId="74" xfId="0" applyNumberFormat="1" applyFont="1" applyFill="1" applyBorder="1" applyAlignment="1">
      <alignment vertical="center" wrapText="1"/>
    </xf>
    <xf numFmtId="49" fontId="5" fillId="2" borderId="75" xfId="0" applyNumberFormat="1" applyFont="1" applyFill="1" applyBorder="1" applyAlignment="1">
      <alignment vertical="center"/>
    </xf>
    <xf numFmtId="49" fontId="5" fillId="2" borderId="76" xfId="0" applyNumberFormat="1" applyFont="1" applyFill="1" applyBorder="1" applyAlignment="1">
      <alignment horizontal="center" vertical="center"/>
    </xf>
    <xf numFmtId="178" fontId="5" fillId="2" borderId="76" xfId="0" applyNumberFormat="1" applyFont="1" applyFill="1" applyBorder="1" applyAlignment="1">
      <alignment vertical="center"/>
    </xf>
    <xf numFmtId="179" fontId="1" fillId="2" borderId="77" xfId="0" applyNumberFormat="1" applyFont="1" applyFill="1" applyBorder="1" applyAlignment="1">
      <alignment vertical="center"/>
    </xf>
    <xf numFmtId="179" fontId="1" fillId="2" borderId="78" xfId="0" applyNumberFormat="1" applyFont="1" applyFill="1" applyBorder="1" applyAlignment="1">
      <alignment vertical="center"/>
    </xf>
    <xf numFmtId="49" fontId="6" fillId="2" borderId="79" xfId="0" applyNumberFormat="1" applyFont="1" applyFill="1" applyBorder="1" applyAlignment="1">
      <alignment vertical="center"/>
    </xf>
    <xf numFmtId="0" fontId="1" fillId="2" borderId="80" xfId="0" applyFont="1" applyFill="1" applyBorder="1" applyAlignment="1">
      <alignment vertical="center"/>
    </xf>
    <xf numFmtId="0" fontId="1" fillId="2" borderId="81" xfId="0" applyFont="1" applyFill="1" applyBorder="1" applyAlignment="1">
      <alignment horizontal="center" vertical="center"/>
    </xf>
    <xf numFmtId="49" fontId="1" fillId="2" borderId="81" xfId="0" applyNumberFormat="1" applyFont="1" applyFill="1" applyBorder="1" applyAlignment="1">
      <alignment horizontal="center" vertical="center"/>
    </xf>
    <xf numFmtId="178" fontId="1" fillId="2" borderId="81" xfId="0" applyNumberFormat="1" applyFont="1" applyFill="1" applyBorder="1" applyAlignment="1">
      <alignment vertical="center"/>
    </xf>
    <xf numFmtId="49" fontId="6" fillId="2" borderId="82" xfId="0" applyNumberFormat="1" applyFont="1" applyFill="1" applyBorder="1" applyAlignment="1">
      <alignment vertical="center"/>
    </xf>
    <xf numFmtId="0" fontId="1" fillId="2" borderId="83" xfId="0" applyFont="1" applyFill="1" applyBorder="1" applyAlignment="1">
      <alignment vertical="center"/>
    </xf>
    <xf numFmtId="0" fontId="1" fillId="2" borderId="77" xfId="0" applyFont="1" applyFill="1" applyBorder="1" applyAlignment="1">
      <alignment horizontal="center" vertical="center"/>
    </xf>
    <xf numFmtId="49" fontId="1" fillId="2" borderId="77" xfId="0" applyNumberFormat="1" applyFont="1" applyFill="1" applyBorder="1" applyAlignment="1">
      <alignment horizontal="center" vertical="center"/>
    </xf>
    <xf numFmtId="178" fontId="1" fillId="2" borderId="77" xfId="0" applyNumberFormat="1" applyFont="1" applyFill="1" applyBorder="1" applyAlignment="1">
      <alignment vertical="center"/>
    </xf>
    <xf numFmtId="179" fontId="1" fillId="2" borderId="84" xfId="0" applyNumberFormat="1" applyFont="1" applyFill="1" applyBorder="1" applyAlignment="1">
      <alignment vertical="center"/>
    </xf>
    <xf numFmtId="0" fontId="6" fillId="5" borderId="85" xfId="0" applyFont="1" applyFill="1" applyBorder="1" applyAlignment="1">
      <alignment vertical="center"/>
    </xf>
    <xf numFmtId="0" fontId="6" fillId="5" borderId="86" xfId="0" applyFont="1" applyFill="1" applyBorder="1" applyAlignment="1">
      <alignment vertical="center"/>
    </xf>
    <xf numFmtId="0" fontId="1" fillId="5" borderId="87" xfId="0" applyFont="1" applyFill="1" applyBorder="1" applyAlignment="1">
      <alignment vertical="center"/>
    </xf>
    <xf numFmtId="179" fontId="8" fillId="5" borderId="87" xfId="0" applyNumberFormat="1" applyFont="1" applyFill="1" applyBorder="1" applyAlignment="1">
      <alignment horizontal="center" vertical="center"/>
    </xf>
    <xf numFmtId="178" fontId="8" fillId="5" borderId="87" xfId="0" applyNumberFormat="1" applyFont="1" applyFill="1" applyBorder="1" applyAlignment="1">
      <alignment vertical="center"/>
    </xf>
    <xf numFmtId="179" fontId="8" fillId="5" borderId="87" xfId="0" applyNumberFormat="1" applyFont="1" applyFill="1" applyBorder="1" applyAlignment="1">
      <alignment vertical="center"/>
    </xf>
    <xf numFmtId="179" fontId="9" fillId="5" borderId="88" xfId="0" applyNumberFormat="1" applyFont="1" applyFill="1" applyBorder="1" applyAlignment="1">
      <alignment vertical="center"/>
    </xf>
    <xf numFmtId="0" fontId="6" fillId="6" borderId="89" xfId="0" applyFont="1" applyFill="1" applyBorder="1" applyAlignment="1">
      <alignment horizontal="center" vertical="center"/>
    </xf>
    <xf numFmtId="0" fontId="6" fillId="6" borderId="90" xfId="0" applyFont="1" applyFill="1" applyBorder="1" applyAlignment="1">
      <alignment horizontal="center" vertical="center"/>
    </xf>
    <xf numFmtId="0" fontId="1" fillId="6" borderId="91" xfId="0" applyFont="1" applyFill="1" applyBorder="1" applyAlignment="1">
      <alignment horizontal="center" vertical="center"/>
    </xf>
    <xf numFmtId="0" fontId="5" fillId="6" borderId="91" xfId="0" applyFont="1" applyFill="1" applyBorder="1" applyAlignment="1">
      <alignment horizontal="center" vertical="center"/>
    </xf>
    <xf numFmtId="179" fontId="6" fillId="6" borderId="91" xfId="0" applyNumberFormat="1" applyFont="1" applyFill="1" applyBorder="1" applyAlignment="1">
      <alignment horizontal="center" vertical="center"/>
    </xf>
    <xf numFmtId="179" fontId="5" fillId="6" borderId="91" xfId="0" applyNumberFormat="1" applyFont="1" applyFill="1" applyBorder="1" applyAlignment="1">
      <alignment horizontal="center" vertical="center"/>
    </xf>
    <xf numFmtId="179" fontId="1" fillId="6" borderId="92" xfId="0" applyNumberFormat="1" applyFont="1" applyFill="1" applyBorder="1" applyAlignment="1">
      <alignment horizontal="center" vertical="center"/>
    </xf>
    <xf numFmtId="49" fontId="5" fillId="2" borderId="93" xfId="0" applyNumberFormat="1" applyFont="1" applyFill="1" applyBorder="1" applyAlignment="1">
      <alignment horizontal="center" vertical="center"/>
    </xf>
    <xf numFmtId="49" fontId="6" fillId="2" borderId="94" xfId="0" applyNumberFormat="1" applyFont="1" applyFill="1" applyBorder="1" applyAlignment="1">
      <alignment horizontal="center" vertical="center"/>
    </xf>
    <xf numFmtId="49" fontId="6" fillId="2" borderId="95" xfId="0" applyNumberFormat="1" applyFont="1" applyFill="1" applyBorder="1" applyAlignment="1">
      <alignment horizontal="center" vertical="center"/>
    </xf>
    <xf numFmtId="49" fontId="6" fillId="2" borderId="96" xfId="0" applyNumberFormat="1" applyFont="1" applyFill="1" applyBorder="1" applyAlignment="1">
      <alignment horizontal="center" vertical="center"/>
    </xf>
    <xf numFmtId="49" fontId="10" fillId="2" borderId="97" xfId="0" applyNumberFormat="1" applyFont="1" applyFill="1" applyBorder="1" applyAlignment="1">
      <alignment vertical="center"/>
    </xf>
    <xf numFmtId="0" fontId="11" fillId="2" borderId="98" xfId="0" applyFont="1" applyFill="1" applyBorder="1" applyAlignment="1">
      <alignment vertical="center"/>
    </xf>
    <xf numFmtId="0" fontId="1" fillId="2" borderId="99" xfId="0" applyFont="1" applyFill="1" applyBorder="1" applyAlignment="1">
      <alignment horizontal="center" vertical="center"/>
    </xf>
    <xf numFmtId="178" fontId="1" fillId="2" borderId="99" xfId="0" applyNumberFormat="1" applyFont="1" applyFill="1" applyBorder="1" applyAlignment="1">
      <alignment vertical="center"/>
    </xf>
    <xf numFmtId="179" fontId="1" fillId="2" borderId="91" xfId="0" applyNumberFormat="1" applyFont="1" applyFill="1" applyBorder="1" applyAlignment="1">
      <alignment vertical="center"/>
    </xf>
    <xf numFmtId="179" fontId="1" fillId="2" borderId="92" xfId="0" applyNumberFormat="1" applyFont="1" applyFill="1" applyBorder="1" applyAlignment="1">
      <alignment vertical="center"/>
    </xf>
    <xf numFmtId="0" fontId="11" fillId="2" borderId="89" xfId="0" applyFont="1" applyFill="1" applyBorder="1" applyAlignment="1">
      <alignment vertical="center"/>
    </xf>
    <xf numFmtId="0" fontId="11" fillId="2" borderId="90" xfId="0" applyFont="1" applyFill="1" applyBorder="1" applyAlignment="1">
      <alignment vertical="center"/>
    </xf>
    <xf numFmtId="0" fontId="1" fillId="2" borderId="91" xfId="0" applyFont="1" applyFill="1" applyBorder="1" applyAlignment="1">
      <alignment horizontal="center" vertical="center"/>
    </xf>
    <xf numFmtId="0" fontId="1" fillId="2" borderId="91" xfId="0" applyFont="1" applyFill="1" applyBorder="1" applyAlignment="1">
      <alignment horizontal="right" vertical="center"/>
    </xf>
    <xf numFmtId="178" fontId="1" fillId="2" borderId="91" xfId="0" applyNumberFormat="1" applyFont="1" applyFill="1" applyBorder="1" applyAlignment="1">
      <alignment vertical="center"/>
    </xf>
    <xf numFmtId="0" fontId="10" fillId="2" borderId="89" xfId="0" applyFont="1" applyFill="1" applyBorder="1" applyAlignment="1">
      <alignment vertical="center"/>
    </xf>
    <xf numFmtId="179" fontId="1" fillId="2" borderId="89" xfId="0" applyNumberFormat="1" applyFont="1" applyFill="1" applyBorder="1" applyAlignment="1">
      <alignment vertical="center"/>
    </xf>
    <xf numFmtId="179" fontId="1" fillId="2" borderId="90" xfId="0" applyNumberFormat="1" applyFont="1" applyFill="1" applyBorder="1" applyAlignment="1">
      <alignment vertical="center"/>
    </xf>
    <xf numFmtId="179" fontId="8" fillId="2" borderId="91" xfId="0" applyNumberFormat="1" applyFont="1" applyFill="1" applyBorder="1" applyAlignment="1">
      <alignment horizontal="center" vertical="center"/>
    </xf>
    <xf numFmtId="179" fontId="9" fillId="2" borderId="91" xfId="0" applyNumberFormat="1" applyFont="1" applyFill="1" applyBorder="1" applyAlignment="1">
      <alignment vertical="center"/>
    </xf>
    <xf numFmtId="179" fontId="9" fillId="2" borderId="92" xfId="0" applyNumberFormat="1" applyFont="1" applyFill="1" applyBorder="1" applyAlignment="1">
      <alignment vertical="center"/>
    </xf>
    <xf numFmtId="0" fontId="1" fillId="6" borderId="89" xfId="0" applyFont="1" applyFill="1" applyBorder="1" applyAlignment="1">
      <alignment horizontal="center" vertical="center"/>
    </xf>
    <xf numFmtId="0" fontId="1" fillId="6" borderId="90" xfId="0" applyFont="1" applyFill="1" applyBorder="1" applyAlignment="1">
      <alignment horizontal="center" vertical="center"/>
    </xf>
    <xf numFmtId="179" fontId="12" fillId="2" borderId="89" xfId="0" applyNumberFormat="1" applyFont="1" applyFill="1" applyBorder="1" applyAlignment="1">
      <alignment horizontal="center" vertical="center" wrapText="1"/>
    </xf>
    <xf numFmtId="179" fontId="11" fillId="2" borderId="90" xfId="0" applyNumberFormat="1" applyFont="1" applyFill="1" applyBorder="1" applyAlignment="1">
      <alignment horizontal="center" vertical="center"/>
    </xf>
    <xf numFmtId="179" fontId="11" fillId="2" borderId="91" xfId="0" applyNumberFormat="1" applyFont="1" applyFill="1" applyBorder="1" applyAlignment="1">
      <alignment horizontal="center" vertical="center"/>
    </xf>
    <xf numFmtId="179" fontId="11" fillId="2" borderId="92" xfId="0" applyNumberFormat="1" applyFont="1" applyFill="1" applyBorder="1" applyAlignment="1">
      <alignment horizontal="center" vertical="center"/>
    </xf>
    <xf numFmtId="0" fontId="10" fillId="2" borderId="89" xfId="0" applyFont="1" applyFill="1" applyBorder="1" applyAlignment="1"/>
    <xf numFmtId="0" fontId="11" fillId="2" borderId="90" xfId="0" applyFont="1" applyFill="1" applyBorder="1" applyAlignment="1"/>
    <xf numFmtId="0" fontId="11" fillId="2" borderId="91" xfId="0" applyFont="1" applyFill="1" applyBorder="1" applyAlignment="1">
      <alignment horizontal="center" vertical="center"/>
    </xf>
    <xf numFmtId="178" fontId="11" fillId="2" borderId="91" xfId="0" applyNumberFormat="1" applyFont="1" applyFill="1" applyBorder="1" applyAlignment="1">
      <alignment horizontal="right"/>
    </xf>
    <xf numFmtId="179" fontId="11" fillId="2" borderId="91" xfId="0" applyNumberFormat="1" applyFont="1" applyFill="1" applyBorder="1" applyAlignment="1">
      <alignment horizontal="right"/>
    </xf>
    <xf numFmtId="179" fontId="11" fillId="2" borderId="92" xfId="0" applyNumberFormat="1" applyFont="1" applyFill="1" applyBorder="1" applyAlignment="1">
      <alignment horizontal="right"/>
    </xf>
    <xf numFmtId="0" fontId="11" fillId="2" borderId="89" xfId="0" applyFont="1" applyFill="1" applyBorder="1" applyAlignment="1"/>
    <xf numFmtId="0" fontId="10" fillId="2" borderId="91" xfId="0" applyFont="1" applyFill="1" applyBorder="1" applyAlignment="1">
      <alignment horizontal="center" vertical="center"/>
    </xf>
    <xf numFmtId="0" fontId="11" fillId="2" borderId="91" xfId="0" applyFont="1" applyFill="1" applyBorder="1" applyAlignment="1">
      <alignment horizontal="right"/>
    </xf>
    <xf numFmtId="179" fontId="9" fillId="2" borderId="91" xfId="0" applyNumberFormat="1" applyFont="1" applyFill="1" applyBorder="1" applyAlignment="1">
      <alignment horizontal="right"/>
    </xf>
    <xf numFmtId="179" fontId="9" fillId="2" borderId="92" xfId="0" applyNumberFormat="1" applyFont="1" applyFill="1" applyBorder="1" applyAlignment="1">
      <alignment horizontal="right"/>
    </xf>
    <xf numFmtId="0" fontId="1" fillId="2" borderId="89" xfId="0" applyFont="1" applyFill="1" applyBorder="1" applyAlignment="1"/>
    <xf numFmtId="0" fontId="1" fillId="2" borderId="90" xfId="0" applyFont="1" applyFill="1" applyBorder="1" applyAlignment="1"/>
    <xf numFmtId="0" fontId="1" fillId="2" borderId="91" xfId="0" applyFont="1" applyFill="1" applyBorder="1" applyAlignment="1"/>
    <xf numFmtId="179" fontId="1" fillId="2" borderId="91" xfId="0" applyNumberFormat="1" applyFont="1" applyFill="1" applyBorder="1" applyAlignment="1"/>
    <xf numFmtId="179" fontId="1" fillId="2" borderId="92" xfId="0" applyNumberFormat="1" applyFont="1" applyFill="1" applyBorder="1" applyAlignment="1"/>
    <xf numFmtId="179" fontId="10" fillId="2" borderId="89" xfId="0" applyNumberFormat="1" applyFont="1" applyFill="1" applyBorder="1" applyAlignment="1">
      <alignment horizontal="center"/>
    </xf>
    <xf numFmtId="179" fontId="11" fillId="2" borderId="90" xfId="0" applyNumberFormat="1" applyFont="1" applyFill="1" applyBorder="1" applyAlignment="1">
      <alignment horizontal="center"/>
    </xf>
    <xf numFmtId="179" fontId="11" fillId="2" borderId="91" xfId="0" applyNumberFormat="1" applyFont="1" applyFill="1" applyBorder="1" applyAlignment="1">
      <alignment horizontal="center"/>
    </xf>
    <xf numFmtId="179" fontId="11" fillId="2" borderId="92" xfId="0" applyNumberFormat="1" applyFont="1" applyFill="1" applyBorder="1" applyAlignment="1">
      <alignment horizontal="center"/>
    </xf>
    <xf numFmtId="0" fontId="10" fillId="2" borderId="89" xfId="0" applyFont="1" applyFill="1" applyBorder="1" applyAlignment="1">
      <alignment wrapText="1"/>
    </xf>
    <xf numFmtId="178" fontId="11" fillId="2" borderId="91" xfId="0" applyNumberFormat="1" applyFont="1" applyFill="1" applyBorder="1" applyAlignment="1"/>
    <xf numFmtId="179" fontId="11" fillId="2" borderId="91" xfId="0" applyNumberFormat="1" applyFont="1" applyFill="1" applyBorder="1" applyAlignment="1"/>
    <xf numFmtId="179" fontId="11" fillId="2" borderId="92" xfId="0" applyNumberFormat="1" applyFont="1" applyFill="1" applyBorder="1" applyAlignment="1"/>
    <xf numFmtId="0" fontId="11" fillId="2" borderId="91" xfId="0" applyFont="1" applyFill="1" applyBorder="1" applyAlignment="1"/>
    <xf numFmtId="179" fontId="9" fillId="2" borderId="91" xfId="0" applyNumberFormat="1" applyFont="1" applyFill="1" applyBorder="1" applyAlignment="1"/>
    <xf numFmtId="179" fontId="9" fillId="2" borderId="92" xfId="0" applyNumberFormat="1" applyFont="1" applyFill="1" applyBorder="1" applyAlignment="1"/>
    <xf numFmtId="0" fontId="13" fillId="2" borderId="100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179" fontId="1" fillId="2" borderId="100" xfId="0" applyNumberFormat="1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/>
    </xf>
    <xf numFmtId="179" fontId="1" fillId="2" borderId="101" xfId="0" applyNumberFormat="1" applyFont="1" applyFill="1" applyBorder="1" applyAlignment="1">
      <alignment horizontal="center" vertical="center"/>
    </xf>
    <xf numFmtId="0" fontId="1" fillId="2" borderId="102" xfId="0" applyFont="1" applyFill="1" applyBorder="1" applyAlignment="1">
      <alignment horizontal="center"/>
    </xf>
    <xf numFmtId="0" fontId="1" fillId="2" borderId="103" xfId="0" applyFont="1" applyFill="1" applyBorder="1" applyAlignment="1">
      <alignment horizontal="center"/>
    </xf>
    <xf numFmtId="0" fontId="1" fillId="2" borderId="104" xfId="0" applyFont="1" applyFill="1" applyBorder="1" applyAlignment="1"/>
    <xf numFmtId="0" fontId="1" fillId="2" borderId="105" xfId="0" applyFont="1" applyFill="1" applyBorder="1" applyAlignment="1"/>
    <xf numFmtId="0" fontId="1" fillId="2" borderId="106" xfId="0" applyFont="1" applyFill="1" applyBorder="1" applyAlignment="1"/>
    <xf numFmtId="0" fontId="1" fillId="2" borderId="107" xfId="0" applyFont="1" applyFill="1" applyBorder="1" applyAlignment="1"/>
    <xf numFmtId="49" fontId="1" fillId="3" borderId="108" xfId="0" applyNumberFormat="1" applyFont="1" applyFill="1" applyBorder="1" applyAlignment="1">
      <alignment horizontal="center"/>
    </xf>
    <xf numFmtId="0" fontId="1" fillId="4" borderId="109" xfId="0" applyFont="1" applyFill="1" applyBorder="1" applyAlignment="1">
      <alignment horizontal="center"/>
    </xf>
    <xf numFmtId="0" fontId="1" fillId="4" borderId="110" xfId="0" applyFont="1" applyFill="1" applyBorder="1" applyAlignment="1">
      <alignment horizontal="center"/>
    </xf>
    <xf numFmtId="0" fontId="1" fillId="3" borderId="111" xfId="0" applyFont="1" applyFill="1" applyBorder="1" applyAlignment="1">
      <alignment horizontal="center"/>
    </xf>
    <xf numFmtId="179" fontId="1" fillId="2" borderId="112" xfId="0" applyNumberFormat="1" applyFont="1" applyFill="1" applyBorder="1" applyAlignment="1"/>
    <xf numFmtId="0" fontId="1" fillId="2" borderId="113" xfId="0" applyFont="1" applyFill="1" applyBorder="1" applyAlignment="1"/>
    <xf numFmtId="0" fontId="1" fillId="2" borderId="114" xfId="0" applyFont="1" applyFill="1" applyBorder="1" applyAlignment="1"/>
    <xf numFmtId="9" fontId="1" fillId="3" borderId="111" xfId="0" applyNumberFormat="1" applyFont="1" applyFill="1" applyBorder="1" applyAlignment="1">
      <alignment horizontal="center"/>
    </xf>
    <xf numFmtId="49" fontId="1" fillId="3" borderId="115" xfId="0" applyNumberFormat="1" applyFont="1" applyFill="1" applyBorder="1" applyAlignment="1">
      <alignment horizontal="center"/>
    </xf>
    <xf numFmtId="0" fontId="1" fillId="4" borderId="116" xfId="0" applyFont="1" applyFill="1" applyBorder="1" applyAlignment="1">
      <alignment horizontal="center"/>
    </xf>
    <xf numFmtId="0" fontId="1" fillId="4" borderId="117" xfId="0" applyFont="1" applyFill="1" applyBorder="1" applyAlignment="1">
      <alignment horizontal="center"/>
    </xf>
    <xf numFmtId="179" fontId="1" fillId="3" borderId="118" xfId="0" applyNumberFormat="1" applyFont="1" applyFill="1" applyBorder="1" applyAlignment="1"/>
    <xf numFmtId="179" fontId="1" fillId="2" borderId="119" xfId="0" applyNumberFormat="1" applyFont="1" applyFill="1" applyBorder="1" applyAlignment="1"/>
    <xf numFmtId="0" fontId="1" fillId="2" borderId="120" xfId="0" applyFont="1" applyFill="1" applyBorder="1" applyAlignment="1"/>
    <xf numFmtId="0" fontId="1" fillId="2" borderId="12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A7A7A7"/>
      <rgbColor rgb="00333399"/>
      <rgbColor rgb="00DDDDDD"/>
      <rgbColor rgb="004BACC6"/>
      <rgbColor rgb="000000FF"/>
      <rgbColor rgb="00525252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26035</xdr:colOff>
      <xdr:row>73</xdr:row>
      <xdr:rowOff>131445</xdr:rowOff>
    </xdr:from>
    <xdr:to>
      <xdr:col>7</xdr:col>
      <xdr:colOff>1226820</xdr:colOff>
      <xdr:row>79</xdr:row>
      <xdr:rowOff>36830</xdr:rowOff>
    </xdr:to>
    <xdr:grpSp>
      <xdr:nvGrpSpPr>
        <xdr:cNvPr id="11" name="Group 8"/>
        <xdr:cNvGrpSpPr/>
      </xdr:nvGrpSpPr>
      <xdr:grpSpPr>
        <a:xfrm>
          <a:off x="5586095" y="22663150"/>
          <a:ext cx="4038600" cy="934085"/>
          <a:chOff x="-13497" y="-2"/>
          <a:chExt cx="4312841" cy="933888"/>
        </a:xfrm>
      </xdr:grpSpPr>
      <xdr:grpSp>
        <xdr:nvGrpSpPr>
          <xdr:cNvPr id="4" name="Rectangle 3"/>
          <xdr:cNvGrpSpPr/>
        </xdr:nvGrpSpPr>
        <xdr:grpSpPr>
          <a:xfrm>
            <a:off x="-13497" y="-2"/>
            <a:ext cx="1477118" cy="933888"/>
            <a:chOff x="-13495" y="0"/>
            <a:chExt cx="1477116" cy="933886"/>
          </a:xfrm>
        </xdr:grpSpPr>
        <xdr:sp>
          <xdr:nvSpPr>
            <xdr:cNvPr id="2" name="矩形"/>
            <xdr:cNvSpPr/>
          </xdr:nvSpPr>
          <xdr:spPr>
            <a:xfrm>
              <a:off x="-1" y="0"/>
              <a:ext cx="1452819" cy="933886"/>
            </a:xfrm>
            <a:prstGeom prst="rect">
              <a:avLst/>
            </a:prstGeom>
            <a:noFill/>
            <a:ln w="12700" cap="flat">
              <a:solidFill>
                <a:srgbClr val="333399"/>
              </a:solidFill>
              <a:prstDash val="solid"/>
              <a:miter lim="800000"/>
            </a:ln>
            <a:effectLst/>
          </xdr:spPr>
          <xdr:txBody>
            <a:bodyPr/>
            <a:lstStyle/>
            <a:p/>
          </xdr:txBody>
        </xdr:sp>
        <xdr:sp>
          <xdr:nvSpPr>
            <xdr:cNvPr id="3" name="印"/>
            <xdr:cNvSpPr txBox="1"/>
          </xdr:nvSpPr>
          <xdr:spPr>
            <a:xfrm>
              <a:off x="-13495" y="349176"/>
              <a:ext cx="1477116" cy="234900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</xdr:spPr>
          <xdr:txBody>
            <a:bodyPr wrap="square" lIns="18288" tIns="18288" rIns="18288" bIns="1828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sz="1100" b="0" i="0" u="none" strike="noStrike" cap="none" spc="0" baseline="0">
                  <a:solidFill>
                    <a:srgbClr val="333399"/>
                  </a:solidFill>
                  <a:uFillTx/>
                  <a:latin typeface="ＭＳ 明朝" panose="02020609040205080304" charset="-128"/>
                  <a:ea typeface="ＭＳ 明朝" panose="02020609040205080304" charset="-128"/>
                  <a:cs typeface="ＭＳ 明朝" panose="02020609040205080304" charset="-128"/>
                  <a:sym typeface="ＭＳ 明朝" panose="02020609040205080304" charset="-128"/>
                </a:defRPr>
              </a:pPr>
              <a:r>
                <a:rPr sz="1200" b="0" i="0" u="none" strike="noStrike" cap="none" spc="0" baseline="0">
                  <a:solidFill>
                    <a:srgbClr val="333399"/>
                  </a:solidFill>
                  <a:uFillTx/>
                  <a:latin typeface="微软雅黑" panose="020B0503020204020204" charset="-122"/>
                  <a:ea typeface="微软雅黑" panose="020B0503020204020204" charset="-122"/>
                  <a:cs typeface="ＭＳ 明朝" panose="02020609040205080304" charset="-128"/>
                  <a:sym typeface="ＭＳ 明朝" panose="02020609040205080304" charset="-128"/>
                </a:rPr>
                <a:t>印</a:t>
              </a:r>
              <a:endParaRPr sz="1200" b="0" i="0" u="none" strike="noStrike" cap="none" spc="0" baseline="0">
                <a:solidFill>
                  <a:srgbClr val="333399"/>
                </a:solidFill>
                <a:uFillTx/>
                <a:latin typeface="微软雅黑" panose="020B0503020204020204" charset="-122"/>
                <a:ea typeface="微软雅黑" panose="020B0503020204020204" charset="-122"/>
                <a:cs typeface="ＭＳ 明朝" panose="02020609040205080304" charset="-128"/>
                <a:sym typeface="ＭＳ 明朝" panose="02020609040205080304" charset="-128"/>
              </a:endParaRPr>
            </a:p>
          </xdr:txBody>
        </xdr:sp>
      </xdr:grpSp>
      <xdr:grpSp>
        <xdr:nvGrpSpPr>
          <xdr:cNvPr id="7" name="Rectangle 6"/>
          <xdr:cNvGrpSpPr/>
        </xdr:nvGrpSpPr>
        <xdr:grpSpPr>
          <a:xfrm>
            <a:off x="2818991" y="-2"/>
            <a:ext cx="1480353" cy="933888"/>
            <a:chOff x="-14699" y="0"/>
            <a:chExt cx="1480351" cy="933886"/>
          </a:xfrm>
        </xdr:grpSpPr>
        <xdr:sp>
          <xdr:nvSpPr>
            <xdr:cNvPr id="5" name="矩形"/>
            <xdr:cNvSpPr/>
          </xdr:nvSpPr>
          <xdr:spPr>
            <a:xfrm>
              <a:off x="-1" y="0"/>
              <a:ext cx="1452819" cy="933886"/>
            </a:xfrm>
            <a:prstGeom prst="rect">
              <a:avLst/>
            </a:prstGeom>
            <a:noFill/>
            <a:ln w="12700" cap="flat">
              <a:solidFill>
                <a:srgbClr val="333399"/>
              </a:solidFill>
              <a:prstDash val="solid"/>
              <a:miter lim="800000"/>
            </a:ln>
            <a:effectLst/>
          </xdr:spPr>
          <xdr:txBody>
            <a:bodyPr/>
            <a:lstStyle/>
            <a:p/>
          </xdr:txBody>
        </xdr:sp>
        <xdr:sp>
          <xdr:nvSpPr>
            <xdr:cNvPr id="6" name="印"/>
            <xdr:cNvSpPr txBox="1"/>
          </xdr:nvSpPr>
          <xdr:spPr>
            <a:xfrm>
              <a:off x="-14699" y="349176"/>
              <a:ext cx="1480351" cy="234900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</xdr:spPr>
          <xdr:txBody>
            <a:bodyPr wrap="square" lIns="18288" tIns="18288" rIns="18288" bIns="1828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sz="1100" b="0" i="0" u="none" strike="noStrike" cap="none" spc="0" baseline="0">
                  <a:solidFill>
                    <a:srgbClr val="333399"/>
                  </a:solidFill>
                  <a:uFillTx/>
                  <a:latin typeface="ＭＳ 明朝" panose="02020609040205080304" charset="-128"/>
                  <a:ea typeface="ＭＳ 明朝" panose="02020609040205080304" charset="-128"/>
                  <a:cs typeface="ＭＳ 明朝" panose="02020609040205080304" charset="-128"/>
                  <a:sym typeface="ＭＳ 明朝" panose="02020609040205080304" charset="-128"/>
                </a:defRPr>
              </a:pPr>
              <a:r>
                <a:rPr sz="1200" b="0" i="0" u="none" strike="noStrike" cap="none" spc="0" baseline="0">
                  <a:solidFill>
                    <a:srgbClr val="333399"/>
                  </a:solidFill>
                  <a:uFillTx/>
                  <a:latin typeface="微软雅黑" panose="020B0503020204020204" charset="-122"/>
                  <a:ea typeface="微软雅黑" panose="020B0503020204020204" charset="-122"/>
                  <a:cs typeface="ＭＳ 明朝" panose="02020609040205080304" charset="-128"/>
                  <a:sym typeface="ＭＳ 明朝" panose="02020609040205080304" charset="-128"/>
                </a:rPr>
                <a:t>印</a:t>
              </a:r>
              <a:endParaRPr sz="1200" b="0" i="0" u="none" strike="noStrike" cap="none" spc="0" baseline="0">
                <a:solidFill>
                  <a:srgbClr val="333399"/>
                </a:solidFill>
                <a:uFillTx/>
                <a:latin typeface="微软雅黑" panose="020B0503020204020204" charset="-122"/>
                <a:ea typeface="微软雅黑" panose="020B0503020204020204" charset="-122"/>
                <a:cs typeface="ＭＳ 明朝" panose="02020609040205080304" charset="-128"/>
                <a:sym typeface="ＭＳ 明朝" panose="02020609040205080304" charset="-128"/>
              </a:endParaRPr>
            </a:p>
          </xdr:txBody>
        </xdr:sp>
      </xdr:grpSp>
      <xdr:grpSp>
        <xdr:nvGrpSpPr>
          <xdr:cNvPr id="10" name="Rectangle 7"/>
          <xdr:cNvGrpSpPr/>
        </xdr:nvGrpSpPr>
        <xdr:grpSpPr>
          <a:xfrm>
            <a:off x="1403899" y="-2"/>
            <a:ext cx="1434912" cy="933888"/>
            <a:chOff x="-12946" y="0"/>
            <a:chExt cx="1434911" cy="933886"/>
          </a:xfrm>
        </xdr:grpSpPr>
        <xdr:sp>
          <xdr:nvSpPr>
            <xdr:cNvPr id="8" name="矩形"/>
            <xdr:cNvSpPr/>
          </xdr:nvSpPr>
          <xdr:spPr>
            <a:xfrm>
              <a:off x="-1" y="0"/>
              <a:ext cx="1409884" cy="933886"/>
            </a:xfrm>
            <a:prstGeom prst="rect">
              <a:avLst/>
            </a:prstGeom>
            <a:noFill/>
            <a:ln w="12700" cap="flat">
              <a:solidFill>
                <a:srgbClr val="333399"/>
              </a:solidFill>
              <a:prstDash val="solid"/>
              <a:miter lim="800000"/>
            </a:ln>
            <a:effectLst/>
          </xdr:spPr>
          <xdr:txBody>
            <a:bodyPr/>
            <a:lstStyle/>
            <a:p/>
          </xdr:txBody>
        </xdr:sp>
        <xdr:sp>
          <xdr:nvSpPr>
            <xdr:cNvPr id="9" name="印"/>
            <xdr:cNvSpPr txBox="1"/>
          </xdr:nvSpPr>
          <xdr:spPr>
            <a:xfrm>
              <a:off x="-12946" y="349176"/>
              <a:ext cx="1434911" cy="234900"/>
            </a:xfrm>
            <a:prstGeom prst="rect">
              <a:avLst/>
            </a:prstGeom>
            <a:noFill/>
            <a:ln w="12700" cap="flat">
              <a:noFill/>
              <a:miter lim="400000"/>
            </a:ln>
            <a:effectLst/>
          </xdr:spPr>
          <xdr:txBody>
            <a:bodyPr wrap="square" lIns="18288" tIns="18288" rIns="18288" bIns="18288" numCol="1" anchor="ctr">
              <a:spAutoFit/>
            </a:bodyPr>
            <a:lstStyle/>
            <a:p>
              <a:pPr marL="0" marR="0" indent="0" algn="ctr" defTabSz="914400" latinLnBrk="0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defRPr sz="1100" b="0" i="0" u="none" strike="noStrike" cap="none" spc="0" baseline="0">
                  <a:solidFill>
                    <a:srgbClr val="333399"/>
                  </a:solidFill>
                  <a:uFillTx/>
                  <a:latin typeface="ＭＳ 明朝" panose="02020609040205080304" charset="-128"/>
                  <a:ea typeface="ＭＳ 明朝" panose="02020609040205080304" charset="-128"/>
                  <a:cs typeface="ＭＳ 明朝" panose="02020609040205080304" charset="-128"/>
                  <a:sym typeface="ＭＳ 明朝" panose="02020609040205080304" charset="-128"/>
                </a:defRPr>
              </a:pPr>
              <a:r>
                <a:rPr sz="1200" b="0" i="0" u="none" strike="noStrike" cap="none" spc="0" baseline="0">
                  <a:solidFill>
                    <a:srgbClr val="333399"/>
                  </a:solidFill>
                  <a:uFillTx/>
                  <a:latin typeface="微软雅黑" panose="020B0503020204020204" charset="-122"/>
                  <a:ea typeface="微软雅黑" panose="020B0503020204020204" charset="-122"/>
                  <a:cs typeface="ＭＳ 明朝" panose="02020609040205080304" charset="-128"/>
                  <a:sym typeface="ＭＳ 明朝" panose="02020609040205080304" charset="-128"/>
                </a:rPr>
                <a:t>印</a:t>
              </a:r>
              <a:endParaRPr sz="1200" b="0" i="0" u="none" strike="noStrike" cap="none" spc="0" baseline="0">
                <a:solidFill>
                  <a:srgbClr val="333399"/>
                </a:solidFill>
                <a:uFillTx/>
                <a:latin typeface="微软雅黑" panose="020B0503020204020204" charset="-122"/>
                <a:ea typeface="微软雅黑" panose="020B0503020204020204" charset="-122"/>
                <a:cs typeface="ＭＳ 明朝" panose="02020609040205080304" charset="-128"/>
                <a:sym typeface="ＭＳ 明朝" panose="02020609040205080304" charset="-128"/>
              </a:endParaRPr>
            </a:p>
          </xdr:txBody>
        </xdr:sp>
      </xdr:grpSp>
    </xdr:grpSp>
    <xdr:clientData/>
  </xdr:twoCellAnchor>
  <xdr:twoCellAnchor>
    <xdr:from>
      <xdr:col>0</xdr:col>
      <xdr:colOff>365760</xdr:colOff>
      <xdr:row>0</xdr:row>
      <xdr:rowOff>57785</xdr:rowOff>
    </xdr:from>
    <xdr:to>
      <xdr:col>4</xdr:col>
      <xdr:colOff>314325</xdr:colOff>
      <xdr:row>5</xdr:row>
      <xdr:rowOff>33778</xdr:rowOff>
    </xdr:to>
    <xdr:sp>
      <xdr:nvSpPr>
        <xdr:cNvPr id="12" name="Group 16"/>
        <xdr:cNvSpPr txBox="1"/>
      </xdr:nvSpPr>
      <xdr:spPr>
        <a:xfrm>
          <a:off x="365760" y="57785"/>
          <a:ext cx="4326255" cy="1135380"/>
        </a:xfrm>
        <a:prstGeom prst="rect">
          <a:avLst/>
        </a:prstGeom>
        <a:noFill/>
        <a:ln w="12700" cap="flat">
          <a:noFill/>
          <a:miter lim="400000"/>
        </a:ln>
        <a:effectLst/>
      </xdr:spPr>
      <xdr:txBody>
        <a:bodyPr wrap="square" lIns="0" tIns="0" rIns="0" bIns="0" numCol="1" anchor="ctr">
          <a:normAutofit/>
        </a:bodyPr>
        <a:lstStyle/>
        <a:p>
          <a:pPr marL="0" marR="0" indent="0" algn="l" defTabSz="425450" latinLnBrk="0">
            <a:lnSpc>
              <a:spcPct val="100000"/>
            </a:lnSpc>
            <a:spcBef>
              <a:spcPts val="1100"/>
            </a:spcBef>
            <a:spcAft>
              <a:spcPts val="0"/>
            </a:spcAft>
            <a:buClrTx/>
            <a:buSzTx/>
            <a:buFontTx/>
            <a:buNone/>
            <a:defRPr sz="558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defRPr>
          </a:pPr>
          <a:r>
            <a:rPr lang="en-US" sz="480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rPr>
            <a:t>  </a:t>
          </a:r>
          <a:r>
            <a:rPr sz="480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rPr>
            <a:t>請</a:t>
          </a:r>
          <a:r>
            <a:rPr lang="en-US" sz="480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rPr>
            <a:t>  </a:t>
          </a:r>
          <a:r>
            <a:rPr sz="480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rPr>
            <a:t>　求</a:t>
          </a:r>
          <a:r>
            <a:rPr lang="en-US" sz="480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rPr>
            <a:t>  </a:t>
          </a:r>
          <a:r>
            <a:rPr sz="4800" b="1" i="0" u="none" strike="noStrike" cap="none" spc="-55" baseline="0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 panose="02000503000000020004"/>
            </a:rPr>
            <a:t>　書</a:t>
          </a:r>
          <a:endParaRPr sz="4800" b="1" i="0" u="none" strike="noStrike" cap="none" spc="-55" baseline="0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 panose="02000503000000020004"/>
          </a:endParaRPr>
        </a:p>
      </xdr:txBody>
    </xdr:sp>
    <xdr:clientData/>
  </xdr:twoCellAnchor>
  <xdr:twoCellAnchor>
    <xdr:from>
      <xdr:col>7</xdr:col>
      <xdr:colOff>781050</xdr:colOff>
      <xdr:row>2</xdr:row>
      <xdr:rowOff>129540</xdr:rowOff>
    </xdr:from>
    <xdr:to>
      <xdr:col>7</xdr:col>
      <xdr:colOff>1680996</xdr:colOff>
      <xdr:row>5</xdr:row>
      <xdr:rowOff>36321</xdr:rowOff>
    </xdr:to>
    <xdr:pic>
      <xdr:nvPicPr>
        <xdr:cNvPr id="13" name="图片 31" descr="图片 31"/>
        <xdr:cNvPicPr>
          <a:picLocks noChangeAspect="1"/>
        </xdr:cNvPicPr>
      </xdr:nvPicPr>
      <xdr:blipFill>
        <a:blip r:embed="rId1"/>
        <a:srcRect l="26831" t="41800" r="26831" b="31341"/>
        <a:stretch>
          <a:fillRect/>
        </a:stretch>
      </xdr:blipFill>
      <xdr:spPr>
        <a:xfrm>
          <a:off x="9178925" y="556895"/>
          <a:ext cx="899795" cy="63881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 ​​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​​テーマ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​​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 panose="020005030000000200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2"/>
  <sheetViews>
    <sheetView showGridLines="0" tabSelected="1" view="pageBreakPreview" zoomScaleNormal="72" topLeftCell="A22" workbookViewId="0">
      <selection activeCell="A27" sqref="A27:H27"/>
    </sheetView>
  </sheetViews>
  <sheetFormatPr defaultColWidth="8.66447368421053" defaultRowHeight="13.5" customHeight="1" outlineLevelCol="7"/>
  <cols>
    <col min="1" max="2" width="8.67763157894737" style="1" customWidth="1"/>
    <col min="3" max="3" width="20.875" style="1" customWidth="1"/>
    <col min="4" max="4" width="7.125" style="1" customWidth="1"/>
    <col min="5" max="5" width="12.25" style="1" customWidth="1"/>
    <col min="6" max="6" width="15.9013157894737" style="1" customWidth="1"/>
    <col min="7" max="7" width="13.5" style="1" customWidth="1"/>
    <col min="8" max="8" width="35.125" style="1" customWidth="1"/>
    <col min="9" max="16384" width="8.67763157894737" style="1" customWidth="1"/>
  </cols>
  <sheetData>
    <row r="1" ht="15.4" customHeight="1" spans="1:8">
      <c r="A1" s="2"/>
      <c r="B1" s="3"/>
      <c r="C1" s="3"/>
      <c r="D1" s="3"/>
      <c r="E1" s="4"/>
      <c r="F1" s="5"/>
      <c r="G1" s="5"/>
      <c r="H1" s="6"/>
    </row>
    <row r="2" ht="18.25" customHeight="1" spans="1:8">
      <c r="A2" s="7"/>
      <c r="B2" s="8"/>
      <c r="C2" s="8"/>
      <c r="D2" s="8"/>
      <c r="E2" s="9"/>
      <c r="F2" s="10"/>
      <c r="G2" s="11" t="s">
        <v>0</v>
      </c>
      <c r="H2" s="12" t="s">
        <v>1</v>
      </c>
    </row>
    <row r="3" ht="18.25" customHeight="1" spans="1:8">
      <c r="A3" s="7"/>
      <c r="B3" s="8"/>
      <c r="C3" s="8"/>
      <c r="D3" s="8"/>
      <c r="E3" s="9"/>
      <c r="F3" s="10"/>
      <c r="G3" s="11"/>
      <c r="H3" s="13"/>
    </row>
    <row r="4" ht="15.4" customHeight="1" spans="1:8">
      <c r="A4" s="7"/>
      <c r="B4" s="8"/>
      <c r="C4" s="8"/>
      <c r="D4" s="8"/>
      <c r="E4" s="9"/>
      <c r="F4" s="14"/>
      <c r="G4" s="14"/>
      <c r="H4" s="15"/>
    </row>
    <row r="5" ht="24" customHeight="1" spans="1:8">
      <c r="A5" s="7"/>
      <c r="B5" s="8"/>
      <c r="C5" s="8"/>
      <c r="D5" s="8"/>
      <c r="E5" s="9"/>
      <c r="F5" s="16" t="s">
        <v>2</v>
      </c>
      <c r="G5" s="10"/>
      <c r="H5" s="13"/>
    </row>
    <row r="6" ht="17" customHeight="1" spans="1:8">
      <c r="A6" s="17"/>
      <c r="B6" s="18"/>
      <c r="C6" s="18"/>
      <c r="D6" s="18"/>
      <c r="E6" s="19"/>
      <c r="F6" s="16" t="s">
        <v>3</v>
      </c>
      <c r="G6" s="20" t="s">
        <v>4</v>
      </c>
      <c r="H6" s="13"/>
    </row>
    <row r="7" ht="37" customHeight="1" spans="1:8">
      <c r="A7" s="21" t="s">
        <v>5</v>
      </c>
      <c r="B7" s="22"/>
      <c r="C7" s="22"/>
      <c r="D7" s="23"/>
      <c r="E7" s="24" t="s">
        <v>6</v>
      </c>
      <c r="F7" s="25"/>
      <c r="G7" s="26" t="s">
        <v>7</v>
      </c>
      <c r="H7" s="27"/>
    </row>
    <row r="8" ht="15.4" customHeight="1" spans="1:8">
      <c r="A8" s="28"/>
      <c r="B8" s="29"/>
      <c r="C8" s="30"/>
      <c r="D8" s="30"/>
      <c r="E8" s="31"/>
      <c r="F8" s="32" t="s">
        <v>8</v>
      </c>
      <c r="G8" s="32" t="s">
        <v>9</v>
      </c>
      <c r="H8" s="15"/>
    </row>
    <row r="9" ht="16.25" customHeight="1" spans="1:8">
      <c r="A9" s="33" t="s">
        <v>10</v>
      </c>
      <c r="B9" s="34"/>
      <c r="C9" s="35" t="s">
        <v>11</v>
      </c>
      <c r="D9" s="31"/>
      <c r="E9" s="36"/>
      <c r="F9" s="32" t="s">
        <v>12</v>
      </c>
      <c r="G9" s="32" t="s">
        <v>13</v>
      </c>
      <c r="H9" s="15"/>
    </row>
    <row r="10" ht="15.4" customHeight="1" spans="1:8">
      <c r="A10" s="37"/>
      <c r="B10" s="38"/>
      <c r="C10" s="10"/>
      <c r="D10" s="10"/>
      <c r="E10" s="10"/>
      <c r="F10" s="32"/>
      <c r="G10" s="32"/>
      <c r="H10" s="15"/>
    </row>
    <row r="11" ht="16.25" customHeight="1" spans="1:8">
      <c r="A11" s="39"/>
      <c r="B11" s="40"/>
      <c r="C11" s="41"/>
      <c r="D11" s="42"/>
      <c r="E11" s="31"/>
      <c r="F11" s="31"/>
      <c r="G11" s="43" t="s">
        <v>14</v>
      </c>
      <c r="H11" s="44"/>
    </row>
    <row r="12" ht="16.25" customHeight="1" spans="1:8">
      <c r="A12" s="45"/>
      <c r="B12" s="46"/>
      <c r="C12" s="46"/>
      <c r="D12" s="47"/>
      <c r="E12" s="48"/>
      <c r="F12" s="49" t="s">
        <v>15</v>
      </c>
      <c r="G12" s="50"/>
      <c r="H12" s="51"/>
    </row>
    <row r="13" ht="17.1" customHeight="1" spans="1:8">
      <c r="A13" s="52" t="s">
        <v>16</v>
      </c>
      <c r="B13" s="53"/>
      <c r="C13" s="54">
        <f>SUM(F72)</f>
        <v>411882</v>
      </c>
      <c r="D13" s="55" t="s">
        <v>17</v>
      </c>
      <c r="E13" s="56"/>
      <c r="F13" s="57" t="s">
        <v>18</v>
      </c>
      <c r="G13" s="58"/>
      <c r="H13" s="59" t="s">
        <v>19</v>
      </c>
    </row>
    <row r="14" ht="22.25" customHeight="1" spans="1:8">
      <c r="A14" s="60"/>
      <c r="B14" s="46"/>
      <c r="C14" s="46"/>
      <c r="D14" s="46"/>
      <c r="E14" s="61"/>
      <c r="F14" s="62" t="s">
        <v>20</v>
      </c>
      <c r="G14" s="63"/>
      <c r="H14" s="64" t="s">
        <v>21</v>
      </c>
    </row>
    <row r="15" ht="22.25" customHeight="1" spans="1:8">
      <c r="A15" s="65" t="s">
        <v>22</v>
      </c>
      <c r="B15" s="66"/>
      <c r="C15" s="67" t="s">
        <v>23</v>
      </c>
      <c r="D15" s="31"/>
      <c r="E15" s="61"/>
      <c r="F15" s="62" t="s">
        <v>24</v>
      </c>
      <c r="G15" s="63"/>
      <c r="H15" s="64" t="s">
        <v>25</v>
      </c>
    </row>
    <row r="16" ht="16.25" customHeight="1" spans="1:8">
      <c r="A16" s="68"/>
      <c r="B16" s="69"/>
      <c r="C16" s="69"/>
      <c r="D16" s="70"/>
      <c r="E16" s="71"/>
      <c r="F16" s="72" t="s">
        <v>26</v>
      </c>
      <c r="G16" s="73"/>
      <c r="H16" s="74">
        <v>2244411</v>
      </c>
    </row>
    <row r="17" ht="19.4" customHeight="1" spans="1:8">
      <c r="A17" s="75" t="s">
        <v>27</v>
      </c>
      <c r="B17" s="76"/>
      <c r="C17" s="76"/>
      <c r="D17" s="76"/>
      <c r="E17" s="76"/>
      <c r="F17" s="77"/>
      <c r="G17" s="77"/>
      <c r="H17" s="78"/>
    </row>
    <row r="18" ht="14.25" customHeight="1" spans="1:8">
      <c r="A18" s="79"/>
      <c r="B18" s="80"/>
      <c r="C18" s="80"/>
      <c r="D18" s="80"/>
      <c r="E18" s="80"/>
      <c r="F18" s="81"/>
      <c r="G18" s="81"/>
      <c r="H18" s="82"/>
    </row>
    <row r="19" ht="14.25" customHeight="1" spans="1:8">
      <c r="A19" s="83" t="s">
        <v>28</v>
      </c>
      <c r="B19" s="84" t="s">
        <v>29</v>
      </c>
      <c r="C19" s="85" t="s">
        <v>30</v>
      </c>
      <c r="D19" s="86" t="s">
        <v>31</v>
      </c>
      <c r="E19" s="87" t="s">
        <v>32</v>
      </c>
      <c r="F19" s="88" t="s">
        <v>33</v>
      </c>
      <c r="G19" s="89" t="s">
        <v>34</v>
      </c>
      <c r="H19" s="90" t="s">
        <v>35</v>
      </c>
    </row>
    <row r="20" ht="14.25" customHeight="1" spans="1:8">
      <c r="A20" s="91"/>
      <c r="B20" s="92"/>
      <c r="C20" s="93"/>
      <c r="D20" s="94"/>
      <c r="E20" s="95"/>
      <c r="F20" s="93"/>
      <c r="G20" s="96"/>
      <c r="H20" s="97"/>
    </row>
    <row r="21" ht="46" customHeight="1" spans="1:8">
      <c r="A21" s="98" t="s">
        <v>36</v>
      </c>
      <c r="B21" s="99"/>
      <c r="C21" s="100"/>
      <c r="D21" s="100"/>
      <c r="E21" s="100"/>
      <c r="F21" s="100"/>
      <c r="G21" s="100"/>
      <c r="H21" s="101"/>
    </row>
    <row r="22" ht="70" customHeight="1" spans="1:8">
      <c r="A22" s="102" t="s">
        <v>37</v>
      </c>
      <c r="B22" s="103"/>
      <c r="C22" s="104" t="s">
        <v>38</v>
      </c>
      <c r="D22" s="104" t="s">
        <v>39</v>
      </c>
      <c r="E22" s="105">
        <v>120000</v>
      </c>
      <c r="F22" s="106">
        <f>C22*E22</f>
        <v>120000</v>
      </c>
      <c r="G22" s="106">
        <v>0</v>
      </c>
      <c r="H22" s="107">
        <f>SUM(F22,G22)</f>
        <v>120000</v>
      </c>
    </row>
    <row r="23" ht="46" customHeight="1" spans="1:8">
      <c r="A23" s="108" t="s">
        <v>40</v>
      </c>
      <c r="B23" s="109"/>
      <c r="C23" s="110">
        <v>1</v>
      </c>
      <c r="D23" s="111" t="s">
        <v>41</v>
      </c>
      <c r="E23" s="112">
        <v>20000</v>
      </c>
      <c r="F23" s="106">
        <f>C23*E23</f>
        <v>20000</v>
      </c>
      <c r="G23" s="106">
        <v>0</v>
      </c>
      <c r="H23" s="107">
        <f>SUM(F23,G23)</f>
        <v>20000</v>
      </c>
    </row>
    <row r="24" ht="28" customHeight="1" spans="1:8">
      <c r="A24" s="113" t="s">
        <v>42</v>
      </c>
      <c r="B24" s="114"/>
      <c r="C24" s="115">
        <v>1</v>
      </c>
      <c r="D24" s="116" t="s">
        <v>41</v>
      </c>
      <c r="E24" s="117">
        <v>5000</v>
      </c>
      <c r="F24" s="106">
        <f>C24*E24</f>
        <v>5000</v>
      </c>
      <c r="G24" s="106">
        <v>0</v>
      </c>
      <c r="H24" s="118">
        <f>SUM(F24,G24)</f>
        <v>5000</v>
      </c>
    </row>
    <row r="25" ht="39" customHeight="1" spans="1:8">
      <c r="A25" s="119"/>
      <c r="B25" s="120"/>
      <c r="C25" s="121"/>
      <c r="D25" s="122" t="s">
        <v>43</v>
      </c>
      <c r="E25" s="123"/>
      <c r="F25" s="124">
        <f>SUM(F22:F24)</f>
        <v>145000</v>
      </c>
      <c r="G25" s="124">
        <f>SUM(G22:G24)</f>
        <v>0</v>
      </c>
      <c r="H25" s="125">
        <f>SUM(H23,H22,H24)</f>
        <v>145000</v>
      </c>
    </row>
    <row r="26" ht="39" customHeight="1" spans="1:8">
      <c r="A26" s="126" t="s">
        <v>28</v>
      </c>
      <c r="B26" s="127" t="s">
        <v>29</v>
      </c>
      <c r="C26" s="128" t="s">
        <v>30</v>
      </c>
      <c r="D26" s="129" t="s">
        <v>31</v>
      </c>
      <c r="E26" s="129" t="s">
        <v>32</v>
      </c>
      <c r="F26" s="130" t="s">
        <v>33</v>
      </c>
      <c r="G26" s="131" t="s">
        <v>34</v>
      </c>
      <c r="H26" s="132" t="s">
        <v>35</v>
      </c>
    </row>
    <row r="27" ht="46" customHeight="1" spans="1:8">
      <c r="A27" s="133" t="s">
        <v>44</v>
      </c>
      <c r="B27" s="134"/>
      <c r="C27" s="135"/>
      <c r="D27" s="135"/>
      <c r="E27" s="135"/>
      <c r="F27" s="135"/>
      <c r="G27" s="135"/>
      <c r="H27" s="136"/>
    </row>
    <row r="28" ht="34" customHeight="1" spans="1:8">
      <c r="A28" s="137" t="s">
        <v>45</v>
      </c>
      <c r="B28" s="138"/>
      <c r="C28" s="139">
        <v>2</v>
      </c>
      <c r="D28" s="139" t="s">
        <v>46</v>
      </c>
      <c r="E28" s="140">
        <v>810</v>
      </c>
      <c r="F28" s="141">
        <f>C28*E28</f>
        <v>1620</v>
      </c>
      <c r="G28" s="141">
        <f>F28*$E$71</f>
        <v>162</v>
      </c>
      <c r="H28" s="142">
        <f>SUM(F28,G28)</f>
        <v>1782</v>
      </c>
    </row>
    <row r="29" ht="32" customHeight="1" spans="1:8">
      <c r="A29" s="143" t="s">
        <v>47</v>
      </c>
      <c r="B29" s="144"/>
      <c r="C29" s="145">
        <v>10</v>
      </c>
      <c r="D29" s="145" t="s">
        <v>48</v>
      </c>
      <c r="E29" s="146" t="s">
        <v>49</v>
      </c>
      <c r="F29" s="141">
        <v>0</v>
      </c>
      <c r="G29" s="141">
        <f>F29*$E$71</f>
        <v>0</v>
      </c>
      <c r="H29" s="142">
        <f>SUM(F29,G29)</f>
        <v>0</v>
      </c>
    </row>
    <row r="30" ht="27" customHeight="1" spans="1:8">
      <c r="A30" s="143" t="s">
        <v>50</v>
      </c>
      <c r="B30" s="144"/>
      <c r="C30" s="145">
        <v>1</v>
      </c>
      <c r="D30" s="145" t="s">
        <v>41</v>
      </c>
      <c r="E30" s="147">
        <v>35000</v>
      </c>
      <c r="F30" s="141">
        <f t="shared" ref="F26:F51" si="0">C30*E30</f>
        <v>35000</v>
      </c>
      <c r="G30" s="141">
        <f t="shared" ref="G26:G51" si="1">F30*$E$71</f>
        <v>3500</v>
      </c>
      <c r="H30" s="142">
        <f t="shared" ref="H26:H51" si="2">SUM(F30,G30)</f>
        <v>38500</v>
      </c>
    </row>
    <row r="31" ht="27" customHeight="1" spans="1:8">
      <c r="A31" s="143" t="s">
        <v>51</v>
      </c>
      <c r="B31" s="144"/>
      <c r="C31" s="145">
        <v>1</v>
      </c>
      <c r="D31" s="145" t="s">
        <v>41</v>
      </c>
      <c r="E31" s="147">
        <v>12000</v>
      </c>
      <c r="F31" s="141">
        <f t="shared" si="0"/>
        <v>12000</v>
      </c>
      <c r="G31" s="141">
        <f t="shared" si="1"/>
        <v>1200</v>
      </c>
      <c r="H31" s="142">
        <f t="shared" si="2"/>
        <v>13200</v>
      </c>
    </row>
    <row r="32" ht="26" customHeight="1" spans="1:8">
      <c r="A32" s="143" t="s">
        <v>52</v>
      </c>
      <c r="B32" s="144"/>
      <c r="C32" s="145">
        <v>1</v>
      </c>
      <c r="D32" s="145" t="s">
        <v>41</v>
      </c>
      <c r="E32" s="147">
        <v>3000</v>
      </c>
      <c r="F32" s="141">
        <f t="shared" si="0"/>
        <v>3000</v>
      </c>
      <c r="G32" s="141">
        <f t="shared" si="1"/>
        <v>300</v>
      </c>
      <c r="H32" s="142">
        <f t="shared" si="2"/>
        <v>3300</v>
      </c>
    </row>
    <row r="33" ht="29" customHeight="1" spans="1:8">
      <c r="A33" s="148" t="s">
        <v>53</v>
      </c>
      <c r="B33" s="144"/>
      <c r="C33" s="145">
        <v>1</v>
      </c>
      <c r="D33" s="145" t="s">
        <v>41</v>
      </c>
      <c r="E33" s="147">
        <v>2000</v>
      </c>
      <c r="F33" s="141">
        <f t="shared" si="0"/>
        <v>2000</v>
      </c>
      <c r="G33" s="141">
        <f t="shared" si="1"/>
        <v>200</v>
      </c>
      <c r="H33" s="142">
        <f t="shared" si="2"/>
        <v>2200</v>
      </c>
    </row>
    <row r="34" ht="29" customHeight="1" spans="1:8">
      <c r="A34" s="149"/>
      <c r="B34" s="150"/>
      <c r="C34" s="141"/>
      <c r="D34" s="151" t="s">
        <v>43</v>
      </c>
      <c r="E34" s="152"/>
      <c r="F34" s="152">
        <f>SUM(F28:F33)</f>
        <v>53620</v>
      </c>
      <c r="G34" s="124">
        <f>SUM(G28:G33)</f>
        <v>5362</v>
      </c>
      <c r="H34" s="153">
        <f>SUM(H28,H29,H30,H31,H32,H33)</f>
        <v>58982</v>
      </c>
    </row>
    <row r="35" ht="35" customHeight="1" spans="1:8">
      <c r="A35" s="154" t="s">
        <v>28</v>
      </c>
      <c r="B35" s="155" t="s">
        <v>29</v>
      </c>
      <c r="C35" s="128" t="s">
        <v>30</v>
      </c>
      <c r="D35" s="129" t="s">
        <v>31</v>
      </c>
      <c r="E35" s="129" t="s">
        <v>32</v>
      </c>
      <c r="F35" s="130" t="s">
        <v>33</v>
      </c>
      <c r="G35" s="131" t="s">
        <v>34</v>
      </c>
      <c r="H35" s="132" t="s">
        <v>35</v>
      </c>
    </row>
    <row r="36" ht="35" customHeight="1" spans="1:8">
      <c r="A36" s="156" t="s">
        <v>54</v>
      </c>
      <c r="B36" s="157"/>
      <c r="C36" s="158"/>
      <c r="D36" s="158"/>
      <c r="E36" s="158"/>
      <c r="F36" s="158"/>
      <c r="G36" s="158"/>
      <c r="H36" s="159"/>
    </row>
    <row r="37" ht="29" customHeight="1" spans="1:8">
      <c r="A37" s="160" t="s">
        <v>55</v>
      </c>
      <c r="B37" s="161"/>
      <c r="C37" s="162">
        <v>1</v>
      </c>
      <c r="D37" s="162" t="s">
        <v>41</v>
      </c>
      <c r="E37" s="163">
        <v>26000</v>
      </c>
      <c r="F37" s="164">
        <f t="shared" si="0"/>
        <v>26000</v>
      </c>
      <c r="G37" s="164">
        <f t="shared" si="1"/>
        <v>2600</v>
      </c>
      <c r="H37" s="165">
        <f t="shared" si="2"/>
        <v>28600</v>
      </c>
    </row>
    <row r="38" ht="25" customHeight="1" spans="1:8">
      <c r="A38" s="160" t="s">
        <v>56</v>
      </c>
      <c r="B38" s="161"/>
      <c r="C38" s="162">
        <v>1</v>
      </c>
      <c r="D38" s="162" t="s">
        <v>41</v>
      </c>
      <c r="E38" s="163">
        <v>46000</v>
      </c>
      <c r="F38" s="164">
        <f t="shared" si="0"/>
        <v>46000</v>
      </c>
      <c r="G38" s="164">
        <f t="shared" si="1"/>
        <v>4600</v>
      </c>
      <c r="H38" s="165">
        <f t="shared" si="2"/>
        <v>50600</v>
      </c>
    </row>
    <row r="39" ht="29" customHeight="1" spans="1:8">
      <c r="A39" s="160" t="s">
        <v>57</v>
      </c>
      <c r="B39" s="161"/>
      <c r="C39" s="162">
        <v>1</v>
      </c>
      <c r="D39" s="162" t="s">
        <v>41</v>
      </c>
      <c r="E39" s="163">
        <v>12000</v>
      </c>
      <c r="F39" s="164">
        <f t="shared" si="0"/>
        <v>12000</v>
      </c>
      <c r="G39" s="164">
        <f t="shared" si="1"/>
        <v>1200</v>
      </c>
      <c r="H39" s="165">
        <f t="shared" si="2"/>
        <v>13200</v>
      </c>
    </row>
    <row r="40" ht="25" customHeight="1" spans="1:8">
      <c r="A40" s="160" t="s">
        <v>58</v>
      </c>
      <c r="B40" s="161"/>
      <c r="C40" s="162">
        <v>1</v>
      </c>
      <c r="D40" s="162" t="s">
        <v>41</v>
      </c>
      <c r="E40" s="163">
        <v>8000</v>
      </c>
      <c r="F40" s="164">
        <f t="shared" si="0"/>
        <v>8000</v>
      </c>
      <c r="G40" s="164">
        <f t="shared" si="1"/>
        <v>800</v>
      </c>
      <c r="H40" s="165">
        <f t="shared" si="2"/>
        <v>8800</v>
      </c>
    </row>
    <row r="41" ht="24" customHeight="1" spans="1:8">
      <c r="A41" s="166"/>
      <c r="B41" s="161"/>
      <c r="C41" s="162"/>
      <c r="D41" s="167" t="s">
        <v>59</v>
      </c>
      <c r="E41" s="168"/>
      <c r="F41" s="169">
        <f>SUM(F37:F40)</f>
        <v>92000</v>
      </c>
      <c r="G41" s="169">
        <f>SUM(G37:G40)</f>
        <v>9200</v>
      </c>
      <c r="H41" s="170">
        <f>SUM(H39,H38,H37,H40)</f>
        <v>101200</v>
      </c>
    </row>
    <row r="42" ht="19.5" customHeight="1" spans="1:8">
      <c r="A42" s="171"/>
      <c r="B42" s="172"/>
      <c r="C42" s="173"/>
      <c r="D42" s="173"/>
      <c r="E42" s="173"/>
      <c r="F42" s="174"/>
      <c r="G42" s="174"/>
      <c r="H42" s="175"/>
    </row>
    <row r="43" ht="31" customHeight="1" spans="1:8">
      <c r="A43" s="154" t="s">
        <v>28</v>
      </c>
      <c r="B43" s="155" t="s">
        <v>29</v>
      </c>
      <c r="C43" s="128" t="s">
        <v>30</v>
      </c>
      <c r="D43" s="129" t="s">
        <v>31</v>
      </c>
      <c r="E43" s="129" t="s">
        <v>32</v>
      </c>
      <c r="F43" s="130" t="s">
        <v>33</v>
      </c>
      <c r="G43" s="131" t="s">
        <v>34</v>
      </c>
      <c r="H43" s="132" t="s">
        <v>35</v>
      </c>
    </row>
    <row r="44" ht="27" customHeight="1" spans="1:8">
      <c r="A44" s="176" t="s">
        <v>60</v>
      </c>
      <c r="B44" s="177"/>
      <c r="C44" s="178"/>
      <c r="D44" s="178"/>
      <c r="E44" s="178"/>
      <c r="F44" s="178"/>
      <c r="G44" s="178"/>
      <c r="H44" s="179"/>
    </row>
    <row r="45" ht="35" customHeight="1" spans="1:8">
      <c r="A45" s="180" t="s">
        <v>61</v>
      </c>
      <c r="B45" s="161"/>
      <c r="C45" s="162">
        <v>1</v>
      </c>
      <c r="D45" s="162" t="s">
        <v>41</v>
      </c>
      <c r="E45" s="181">
        <v>16000</v>
      </c>
      <c r="F45" s="182">
        <f t="shared" si="0"/>
        <v>16000</v>
      </c>
      <c r="G45" s="182">
        <f t="shared" si="1"/>
        <v>1600</v>
      </c>
      <c r="H45" s="183">
        <f t="shared" si="2"/>
        <v>17600</v>
      </c>
    </row>
    <row r="46" ht="24" customHeight="1" spans="1:8">
      <c r="A46" s="160" t="s">
        <v>62</v>
      </c>
      <c r="B46" s="161"/>
      <c r="C46" s="162">
        <v>1</v>
      </c>
      <c r="D46" s="162" t="s">
        <v>41</v>
      </c>
      <c r="E46" s="181">
        <v>22000</v>
      </c>
      <c r="F46" s="182">
        <f t="shared" si="0"/>
        <v>22000</v>
      </c>
      <c r="G46" s="182">
        <f t="shared" si="1"/>
        <v>2200</v>
      </c>
      <c r="H46" s="183">
        <f t="shared" si="2"/>
        <v>24200</v>
      </c>
    </row>
    <row r="47" ht="25" customHeight="1" spans="1:8">
      <c r="A47" s="160" t="s">
        <v>63</v>
      </c>
      <c r="B47" s="161"/>
      <c r="C47" s="162">
        <v>1</v>
      </c>
      <c r="D47" s="162" t="s">
        <v>41</v>
      </c>
      <c r="E47" s="181">
        <v>0</v>
      </c>
      <c r="F47" s="182">
        <f t="shared" si="0"/>
        <v>0</v>
      </c>
      <c r="G47" s="182">
        <f t="shared" si="1"/>
        <v>0</v>
      </c>
      <c r="H47" s="183">
        <f t="shared" si="2"/>
        <v>0</v>
      </c>
    </row>
    <row r="48" ht="22" customHeight="1" spans="1:8">
      <c r="A48" s="160" t="s">
        <v>64</v>
      </c>
      <c r="B48" s="161"/>
      <c r="C48" s="162">
        <v>1</v>
      </c>
      <c r="D48" s="162" t="s">
        <v>41</v>
      </c>
      <c r="E48" s="181">
        <v>0</v>
      </c>
      <c r="F48" s="182">
        <f t="shared" si="0"/>
        <v>0</v>
      </c>
      <c r="G48" s="182">
        <f t="shared" si="1"/>
        <v>0</v>
      </c>
      <c r="H48" s="183">
        <f t="shared" si="2"/>
        <v>0</v>
      </c>
    </row>
    <row r="49" ht="20" customHeight="1" spans="1:8">
      <c r="A49" s="160" t="s">
        <v>65</v>
      </c>
      <c r="B49" s="161"/>
      <c r="C49" s="162">
        <v>1</v>
      </c>
      <c r="D49" s="162" t="s">
        <v>41</v>
      </c>
      <c r="E49" s="181">
        <v>5000</v>
      </c>
      <c r="F49" s="182">
        <f t="shared" si="0"/>
        <v>5000</v>
      </c>
      <c r="G49" s="182">
        <f t="shared" si="1"/>
        <v>500</v>
      </c>
      <c r="H49" s="183">
        <f t="shared" si="2"/>
        <v>5500</v>
      </c>
    </row>
    <row r="50" ht="25" customHeight="1" spans="1:8">
      <c r="A50" s="166"/>
      <c r="B50" s="161"/>
      <c r="C50" s="184"/>
      <c r="D50" s="167" t="s">
        <v>66</v>
      </c>
      <c r="E50" s="184"/>
      <c r="F50" s="185">
        <f>SUM(F45:F49)</f>
        <v>43000</v>
      </c>
      <c r="G50" s="185">
        <f t="shared" si="1"/>
        <v>4300</v>
      </c>
      <c r="H50" s="186">
        <f t="shared" si="2"/>
        <v>47300</v>
      </c>
    </row>
    <row r="51" ht="20.7" customHeight="1" spans="1:8">
      <c r="A51" s="154" t="s">
        <v>28</v>
      </c>
      <c r="B51" s="155" t="s">
        <v>29</v>
      </c>
      <c r="C51" s="128" t="s">
        <v>30</v>
      </c>
      <c r="D51" s="129" t="s">
        <v>31</v>
      </c>
      <c r="E51" s="129" t="s">
        <v>32</v>
      </c>
      <c r="F51" s="130" t="s">
        <v>33</v>
      </c>
      <c r="G51" s="131" t="s">
        <v>34</v>
      </c>
      <c r="H51" s="132" t="s">
        <v>35</v>
      </c>
    </row>
    <row r="52" ht="20.7" customHeight="1" spans="1:8">
      <c r="A52" s="187" t="s">
        <v>67</v>
      </c>
      <c r="B52" s="188"/>
      <c r="C52" s="188"/>
      <c r="D52" s="188"/>
      <c r="E52" s="188"/>
      <c r="F52" s="189"/>
      <c r="G52" s="189"/>
      <c r="H52" s="189"/>
    </row>
    <row r="53" ht="20.7" customHeight="1" spans="1:8">
      <c r="A53" s="190"/>
      <c r="B53" s="190"/>
      <c r="C53" s="190"/>
      <c r="D53" s="190"/>
      <c r="E53" s="190"/>
      <c r="F53" s="191"/>
      <c r="G53" s="191"/>
      <c r="H53" s="191"/>
    </row>
    <row r="54" ht="20.7" customHeight="1" spans="1:8">
      <c r="A54" s="180" t="s">
        <v>68</v>
      </c>
      <c r="B54" s="161"/>
      <c r="C54" s="162">
        <v>1</v>
      </c>
      <c r="D54" s="162" t="s">
        <v>41</v>
      </c>
      <c r="E54" s="181">
        <v>26000</v>
      </c>
      <c r="F54" s="182">
        <f t="shared" ref="F54:F58" si="3">C54*E54</f>
        <v>26000</v>
      </c>
      <c r="G54" s="182">
        <f t="shared" ref="G54:G59" si="4">F54*$E$71</f>
        <v>2600</v>
      </c>
      <c r="H54" s="183">
        <f t="shared" ref="H54:H59" si="5">SUM(F54,G54)</f>
        <v>28600</v>
      </c>
    </row>
    <row r="55" ht="20.7" customHeight="1" spans="1:8">
      <c r="A55" s="160" t="s">
        <v>69</v>
      </c>
      <c r="B55" s="161"/>
      <c r="C55" s="162">
        <v>1</v>
      </c>
      <c r="D55" s="162" t="s">
        <v>41</v>
      </c>
      <c r="E55" s="181">
        <v>12000</v>
      </c>
      <c r="F55" s="182">
        <f t="shared" si="3"/>
        <v>12000</v>
      </c>
      <c r="G55" s="182">
        <f t="shared" si="4"/>
        <v>1200</v>
      </c>
      <c r="H55" s="183">
        <f t="shared" si="5"/>
        <v>13200</v>
      </c>
    </row>
    <row r="56" ht="20.7" customHeight="1" spans="1:8">
      <c r="A56" s="160" t="s">
        <v>70</v>
      </c>
      <c r="B56" s="161"/>
      <c r="C56" s="162">
        <v>1</v>
      </c>
      <c r="D56" s="162" t="s">
        <v>41</v>
      </c>
      <c r="E56" s="181">
        <v>16000</v>
      </c>
      <c r="F56" s="182">
        <f t="shared" si="3"/>
        <v>16000</v>
      </c>
      <c r="G56" s="182">
        <f t="shared" si="4"/>
        <v>1600</v>
      </c>
      <c r="H56" s="183">
        <f t="shared" si="5"/>
        <v>17600</v>
      </c>
    </row>
    <row r="57" ht="20.7" customHeight="1" spans="1:8">
      <c r="A57" s="160" t="s">
        <v>71</v>
      </c>
      <c r="B57" s="161"/>
      <c r="C57" s="162">
        <v>1</v>
      </c>
      <c r="D57" s="162" t="s">
        <v>41</v>
      </c>
      <c r="E57" s="181">
        <v>0</v>
      </c>
      <c r="F57" s="182">
        <f t="shared" si="3"/>
        <v>0</v>
      </c>
      <c r="G57" s="182">
        <f t="shared" si="4"/>
        <v>0</v>
      </c>
      <c r="H57" s="183">
        <f t="shared" si="5"/>
        <v>0</v>
      </c>
    </row>
    <row r="58" ht="20.7" customHeight="1" spans="1:8">
      <c r="A58" s="160" t="s">
        <v>65</v>
      </c>
      <c r="B58" s="161"/>
      <c r="C58" s="162">
        <v>1</v>
      </c>
      <c r="D58" s="162" t="s">
        <v>41</v>
      </c>
      <c r="E58" s="181">
        <v>0</v>
      </c>
      <c r="F58" s="182">
        <f t="shared" si="3"/>
        <v>0</v>
      </c>
      <c r="G58" s="182">
        <f t="shared" si="4"/>
        <v>0</v>
      </c>
      <c r="H58" s="183">
        <f t="shared" si="5"/>
        <v>0</v>
      </c>
    </row>
    <row r="59" ht="20.7" customHeight="1" spans="1:8">
      <c r="A59" s="166"/>
      <c r="B59" s="161"/>
      <c r="C59" s="184"/>
      <c r="D59" s="167" t="s">
        <v>66</v>
      </c>
      <c r="E59" s="184"/>
      <c r="F59" s="185">
        <f>SUM(F54:F58)</f>
        <v>54000</v>
      </c>
      <c r="G59" s="185">
        <f t="shared" si="4"/>
        <v>5400</v>
      </c>
      <c r="H59" s="186">
        <f t="shared" si="5"/>
        <v>59400</v>
      </c>
    </row>
    <row r="60" ht="20.7" customHeight="1" spans="1:8">
      <c r="A60" s="154" t="s">
        <v>28</v>
      </c>
      <c r="B60" s="155" t="s">
        <v>29</v>
      </c>
      <c r="C60" s="128" t="s">
        <v>30</v>
      </c>
      <c r="D60" s="129" t="s">
        <v>31</v>
      </c>
      <c r="E60" s="129" t="s">
        <v>32</v>
      </c>
      <c r="F60" s="130" t="s">
        <v>33</v>
      </c>
      <c r="G60" s="131" t="s">
        <v>34</v>
      </c>
      <c r="H60" s="132" t="s">
        <v>35</v>
      </c>
    </row>
    <row r="61" ht="20.7" customHeight="1" spans="1:8">
      <c r="A61" s="192"/>
      <c r="B61" s="193"/>
      <c r="C61" s="194"/>
      <c r="D61" s="194"/>
      <c r="E61" s="194"/>
      <c r="F61" s="174"/>
      <c r="G61" s="174"/>
      <c r="H61" s="175"/>
    </row>
    <row r="62" ht="20.7" customHeight="1" spans="1:8">
      <c r="A62" s="192"/>
      <c r="B62" s="193"/>
      <c r="C62" s="194"/>
      <c r="D62" s="194"/>
      <c r="E62" s="194"/>
      <c r="F62" s="174"/>
      <c r="G62" s="174"/>
      <c r="H62" s="175"/>
    </row>
    <row r="63" ht="20.7" customHeight="1" spans="1:8">
      <c r="A63" s="192"/>
      <c r="B63" s="193"/>
      <c r="C63" s="194"/>
      <c r="D63" s="194"/>
      <c r="E63" s="194"/>
      <c r="F63" s="174"/>
      <c r="G63" s="174"/>
      <c r="H63" s="175"/>
    </row>
    <row r="64" ht="20.7" customHeight="1" spans="1:8">
      <c r="A64" s="192"/>
      <c r="B64" s="193"/>
      <c r="C64" s="194"/>
      <c r="D64" s="194"/>
      <c r="E64" s="194"/>
      <c r="F64" s="174"/>
      <c r="G64" s="174"/>
      <c r="H64" s="175"/>
    </row>
    <row r="65" ht="20.7" customHeight="1" spans="1:8">
      <c r="A65" s="192"/>
      <c r="B65" s="193"/>
      <c r="C65" s="194"/>
      <c r="D65" s="194"/>
      <c r="E65" s="194"/>
      <c r="F65" s="174"/>
      <c r="G65" s="174"/>
      <c r="H65" s="175"/>
    </row>
    <row r="66" ht="20.7" customHeight="1" spans="1:8">
      <c r="A66" s="192"/>
      <c r="B66" s="193"/>
      <c r="C66" s="194"/>
      <c r="D66" s="194"/>
      <c r="E66" s="194"/>
      <c r="F66" s="174"/>
      <c r="G66" s="174"/>
      <c r="H66" s="175"/>
    </row>
    <row r="67" ht="20.7" customHeight="1" spans="1:8">
      <c r="A67" s="192"/>
      <c r="B67" s="193"/>
      <c r="C67" s="194"/>
      <c r="D67" s="194"/>
      <c r="E67" s="194"/>
      <c r="F67" s="174"/>
      <c r="G67" s="174"/>
      <c r="H67" s="175"/>
    </row>
    <row r="68" ht="20.7" customHeight="1" spans="1:8">
      <c r="A68" s="192"/>
      <c r="B68" s="193"/>
      <c r="C68" s="194"/>
      <c r="D68" s="194"/>
      <c r="E68" s="194"/>
      <c r="F68" s="174"/>
      <c r="G68" s="174"/>
      <c r="H68" s="175"/>
    </row>
    <row r="69" ht="20.7" customHeight="1" spans="1:8">
      <c r="A69" s="195"/>
      <c r="B69" s="196"/>
      <c r="C69" s="197"/>
      <c r="D69" s="197"/>
      <c r="E69" s="197"/>
      <c r="F69" s="174">
        <f>C69*E69</f>
        <v>0</v>
      </c>
      <c r="G69" s="174">
        <f>F69*$E$71</f>
        <v>0</v>
      </c>
      <c r="H69" s="175">
        <f>SUM(F69,G69)</f>
        <v>0</v>
      </c>
    </row>
    <row r="70" ht="18" customHeight="1" spans="1:8">
      <c r="A70" s="198" t="s">
        <v>72</v>
      </c>
      <c r="B70" s="199"/>
      <c r="C70" s="199"/>
      <c r="D70" s="200"/>
      <c r="E70" s="201"/>
      <c r="F70" s="202">
        <f>SUM(F59,F50,F41,F34,F25)</f>
        <v>387620</v>
      </c>
      <c r="G70" s="203"/>
      <c r="H70" s="204"/>
    </row>
    <row r="71" ht="18" customHeight="1" spans="1:8">
      <c r="A71" s="198" t="s">
        <v>73</v>
      </c>
      <c r="B71" s="199"/>
      <c r="C71" s="199"/>
      <c r="D71" s="200"/>
      <c r="E71" s="205">
        <v>0.1</v>
      </c>
      <c r="F71" s="202">
        <f>SUM(G59,G50,G41,G34,G25)</f>
        <v>24262</v>
      </c>
      <c r="G71" s="203"/>
      <c r="H71" s="204"/>
    </row>
    <row r="72" ht="18" customHeight="1" spans="1:8">
      <c r="A72" s="206" t="s">
        <v>74</v>
      </c>
      <c r="B72" s="207"/>
      <c r="C72" s="207"/>
      <c r="D72" s="208"/>
      <c r="E72" s="209"/>
      <c r="F72" s="210">
        <f>SUM(F70,F71)</f>
        <v>411882</v>
      </c>
      <c r="G72" s="211"/>
      <c r="H72" s="212"/>
    </row>
  </sheetData>
  <mergeCells count="75">
    <mergeCell ref="F5:H5"/>
    <mergeCell ref="G6:H6"/>
    <mergeCell ref="A7:D7"/>
    <mergeCell ref="G7:H7"/>
    <mergeCell ref="G8:H8"/>
    <mergeCell ref="A9:B9"/>
    <mergeCell ref="G9:H9"/>
    <mergeCell ref="A10:E10"/>
    <mergeCell ref="G10:H10"/>
    <mergeCell ref="B11:C11"/>
    <mergeCell ref="F12:G12"/>
    <mergeCell ref="A13:B13"/>
    <mergeCell ref="F13:G13"/>
    <mergeCell ref="F14:G14"/>
    <mergeCell ref="A15:B15"/>
    <mergeCell ref="F15:G15"/>
    <mergeCell ref="F16:G16"/>
    <mergeCell ref="A17:E17"/>
    <mergeCell ref="A21:H21"/>
    <mergeCell ref="A22:B22"/>
    <mergeCell ref="A23:B23"/>
    <mergeCell ref="A24:B24"/>
    <mergeCell ref="A25:B25"/>
    <mergeCell ref="A27:H27"/>
    <mergeCell ref="A28:B28"/>
    <mergeCell ref="A29:B29"/>
    <mergeCell ref="A30:B30"/>
    <mergeCell ref="A31:B31"/>
    <mergeCell ref="A32:B32"/>
    <mergeCell ref="A33:B33"/>
    <mergeCell ref="A34:B34"/>
    <mergeCell ref="A36:H36"/>
    <mergeCell ref="A37:B37"/>
    <mergeCell ref="A38:B38"/>
    <mergeCell ref="A39:B39"/>
    <mergeCell ref="A40:B40"/>
    <mergeCell ref="A41:B41"/>
    <mergeCell ref="A42:B42"/>
    <mergeCell ref="A44:H44"/>
    <mergeCell ref="A45:B45"/>
    <mergeCell ref="A46:B46"/>
    <mergeCell ref="A47:B47"/>
    <mergeCell ref="A48:B48"/>
    <mergeCell ref="A49:B49"/>
    <mergeCell ref="A50:B50"/>
    <mergeCell ref="A54:B54"/>
    <mergeCell ref="A55:B55"/>
    <mergeCell ref="A56:B56"/>
    <mergeCell ref="A57:B57"/>
    <mergeCell ref="A58:B58"/>
    <mergeCell ref="A59:B59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D70"/>
    <mergeCell ref="F70:H70"/>
    <mergeCell ref="A71:D71"/>
    <mergeCell ref="F71:H71"/>
    <mergeCell ref="A72:D72"/>
    <mergeCell ref="F72:H72"/>
    <mergeCell ref="A19:A20"/>
    <mergeCell ref="B19:B20"/>
    <mergeCell ref="C19:C20"/>
    <mergeCell ref="D19:D20"/>
    <mergeCell ref="E19:E20"/>
    <mergeCell ref="F19:F20"/>
    <mergeCell ref="G19:G20"/>
    <mergeCell ref="H19:H20"/>
    <mergeCell ref="A52:H53"/>
  </mergeCells>
  <pageMargins left="0.25" right="0.25" top="0.75" bottom="0.236111111111111" header="0.298611111111111" footer="0.236111111111111"/>
  <pageSetup paperSize="9" scale="60" orientation="portrait" useFirstPageNumber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</cp:lastModifiedBy>
  <dcterms:created xsi:type="dcterms:W3CDTF">2026-05-27T19:04:00Z</dcterms:created>
  <dcterms:modified xsi:type="dcterms:W3CDTF">2026-07-06T20:05:07Z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535DABE12957B362F6B7456AD3CB2B54_42</vt:lpwstr>
  </property>
  <property fmtid="{D5CDD505-2E9C-101B-9397-08002B2CF9AE}" pid="4" name="CalculationRule">
    <vt:i4>0</vt:i4>
  </property>
</Properties>
</file>